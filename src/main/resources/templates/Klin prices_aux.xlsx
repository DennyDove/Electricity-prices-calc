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EnergyReports\templates\"/>
    </mc:Choice>
  </mc:AlternateContent>
  <xr:revisionPtr revIDLastSave="0" documentId="13_ncr:1_{A2DC9BBD-1579-4599-9146-2FAC99B23C2B}" xr6:coauthVersionLast="43" xr6:coauthVersionMax="43" xr10:uidLastSave="{00000000-0000-0000-0000-000000000000}"/>
  <bookViews>
    <workbookView xWindow="-108" yWindow="-108" windowWidth="23256" windowHeight="12576" tabRatio="933" xr2:uid="{00000000-000D-0000-FFFF-FFFF00000000}"/>
  </bookViews>
  <sheets>
    <sheet name="инф. листы" sheetId="1" r:id="rId1"/>
  </sheets>
  <externalReferences>
    <externalReference r:id="rId2"/>
  </externalReferences>
  <definedNames>
    <definedName name="ReportObject1_0">#REF!</definedName>
    <definedName name="ReportObject1_1">#REF!</definedName>
    <definedName name="ReportObject12_1">[1]Service!#REF!</definedName>
    <definedName name="ReportObject12_2">[1]Service!#REF!</definedName>
    <definedName name="ReportObject12_4">[1]Service!#REF!</definedName>
    <definedName name="ReportObject13_0">#REF!</definedName>
    <definedName name="ReportObject13_1">#REF!</definedName>
    <definedName name="ReportObject13_10">#REF!</definedName>
    <definedName name="ReportObject13_11">#REF!</definedName>
    <definedName name="ReportObject13_12">#REF!</definedName>
    <definedName name="ReportObject13_2">#REF!</definedName>
    <definedName name="ReportObject13_3">#REF!</definedName>
    <definedName name="ReportObject13_4">#REF!</definedName>
    <definedName name="ReportObject13_5">#REF!</definedName>
    <definedName name="ReportObject13_6">#REF!</definedName>
    <definedName name="ReportObject13_7">#REF!</definedName>
    <definedName name="ReportObject13_8">#REF!</definedName>
    <definedName name="ReportObject13_9">#REF!</definedName>
    <definedName name="ReportObject14_1">[1]Service!#REF!</definedName>
    <definedName name="ReportObject14_2">[1]Service!#REF!</definedName>
    <definedName name="ReportObject14_4">[1]Service!#REF!</definedName>
    <definedName name="SHEET_2_COLUMN_C3">#REF!</definedName>
    <definedName name="SHEET_2_COLUMN_D3">#REF!</definedName>
    <definedName name="SHEET_2_COLUMN_E3">#REF!</definedName>
    <definedName name="SHEET_2_COLUMN_F3">#REF!</definedName>
    <definedName name="SHEET_2_COLUMN_G3">#REF!</definedName>
    <definedName name="SHEET_2_DATE_C1">#REF!</definedName>
    <definedName name="SHEET_3_DATE_K7">#REF!</definedName>
    <definedName name="SHEET_3_DATE_L7">#REF!</definedName>
    <definedName name="SHEET_3_DATE_V46">#REF!</definedName>
    <definedName name="SHEET_3_DATE_W46">#REF!</definedName>
    <definedName name="SHEET_4_DATE_K7">#REF!</definedName>
    <definedName name="SHEET_4_DATE_L7">#REF!</definedName>
    <definedName name="SHEET_4_DATE_V46">#REF!</definedName>
    <definedName name="SHEET_4_DATE_W46">#REF!</definedName>
    <definedName name="SHEET_9_DATE_K7">#REF!</definedName>
    <definedName name="SHEET_9_DATE_L7">#REF!</definedName>
    <definedName name="SHEET_9_DATE_V78">#REF!</definedName>
    <definedName name="SHEET_9_DATE_W78">#REF!</definedName>
    <definedName name="sp_act_xml">#REF!</definedName>
    <definedName name="spdate">#REF!</definedName>
    <definedName name="svod1">#REF!</definedName>
    <definedName name="svod2">#REF!</definedName>
    <definedName name="_xlnm.Print_Area" localSheetId="0">'инф. листы'!$A$1:$Z$45</definedName>
  </definedNames>
  <calcPr calcId="181029"/>
</workbook>
</file>

<file path=xl/calcChain.xml><?xml version="1.0" encoding="utf-8"?>
<calcChain xmlns="http://schemas.openxmlformats.org/spreadsheetml/2006/main">
  <c r="AI22" i="1" l="1"/>
  <c r="AI34" i="1" l="1"/>
  <c r="AF34" i="1"/>
  <c r="AI11" i="1"/>
  <c r="AF11" i="1" l="1"/>
  <c r="Z33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4" i="1" l="1"/>
  <c r="AI16" i="1" l="1"/>
  <c r="AF16" i="1"/>
  <c r="AF38" i="1"/>
  <c r="AG40" i="1" s="1"/>
  <c r="AI38" i="1"/>
  <c r="AI41" i="1" s="1"/>
  <c r="AF20" i="1" l="1"/>
  <c r="AG22" i="1" s="1"/>
  <c r="AI20" i="1"/>
  <c r="AK22" i="1" l="1"/>
</calcChain>
</file>

<file path=xl/sharedStrings.xml><?xml version="1.0" encoding="utf-8"?>
<sst xmlns="http://schemas.openxmlformats.org/spreadsheetml/2006/main" count="51" uniqueCount="41">
  <si>
    <t>Итого</t>
  </si>
  <si>
    <t>0:00 - 1:00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</si>
  <si>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</si>
  <si>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</si>
  <si>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</si>
  <si>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</si>
  <si>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</si>
  <si>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</si>
  <si>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</si>
  <si>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</si>
  <si>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</si>
  <si>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</si>
  <si>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</si>
  <si>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</si>
  <si>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</si>
  <si>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</si>
  <si>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</si>
  <si>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</si>
  <si>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</si>
  <si>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</si>
  <si>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</si>
  <si>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</si>
  <si>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</si>
  <si>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</si>
  <si>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</si>
  <si>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Date</t>
  </si>
  <si>
    <t>Передача мощности:</t>
  </si>
  <si>
    <t>Ставка за мощность</t>
  </si>
  <si>
    <t>Итого, руб</t>
  </si>
  <si>
    <t>4-ая ценовая категория</t>
  </si>
  <si>
    <t>3-ая ценовая категория</t>
  </si>
  <si>
    <t>За объем ээ по предельному уровню нерегулируемых цен</t>
  </si>
  <si>
    <t>Стоимость 1 кВт*ч =</t>
  </si>
  <si>
    <t>с III ц.к.</t>
  </si>
  <si>
    <t xml:space="preserve"> </t>
  </si>
  <si>
    <t>P max</t>
  </si>
  <si>
    <t>Расчет за январь</t>
  </si>
  <si>
    <t>Фактическое значение электропотребления за январь 2025, МВт*ч</t>
  </si>
  <si>
    <t>Средневзвешенная нерегулируемая цена на мощность на оптовом рынке, руб/МВт</t>
  </si>
  <si>
    <t>Тариф транспортировки</t>
  </si>
  <si>
    <t>Плата за услуги по управлению изменением режима потребления электроэнерии, руб./МВт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</si>
</sst>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0000"/>
    <numFmt numFmtId="167" formatCode="0.0000000"/>
  </numFmts>
  <fonts count="31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sz val="9"/>
      <color indexed="8"/>
      <name val="Calibri"/>
      <family val="2"/>
      <charset val="204"/>
    </font>
    <font>
      <sz val="8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b/>
      <sz val="10"/>
      <name val="Arial Cyr"/>
      <charset val="204"/>
    </font>
    <font>
      <u/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2" tint="-0.249977111117893"/>
      <name val="Arial Cyr"/>
      <charset val="204"/>
    </font>
    <font>
      <sz val="10"/>
      <color rgb="FFFFFF00"/>
      <name val="Arial Cyr"/>
      <charset val="204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">
    <xf numFmtId="0" fontId="0" fillId="0" borderId="0"/>
    <xf numFmtId="0" fontId="2" fillId="0" borderId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4" fillId="4" borderId="1" applyNumberFormat="0" applyAlignment="0" applyProtection="0"/>
    <xf numFmtId="0" fontId="5" fillId="11" borderId="2" applyNumberFormat="0" applyAlignment="0" applyProtection="0"/>
    <xf numFmtId="0" fontId="6" fillId="11" borderId="1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1" fillId="12" borderId="7" applyNumberFormat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27" fillId="0" borderId="0"/>
    <xf numFmtId="0" fontId="2" fillId="0" borderId="0"/>
    <xf numFmtId="0" fontId="14" fillId="2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23" fillId="14" borderId="8" applyNumberFormat="0" applyFont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0" fillId="0" borderId="6" applyNumberFormat="0" applyFill="0" applyAlignment="0" applyProtection="0"/>
    <xf numFmtId="0" fontId="14" fillId="2" borderId="0" applyNumberFormat="0" applyBorder="0" applyAlignment="0" applyProtection="0"/>
    <xf numFmtId="0" fontId="15" fillId="0" borderId="0" applyNumberFormat="0" applyFill="0" applyBorder="0" applyAlignment="0" applyProtection="0"/>
    <xf numFmtId="0" fontId="2" fillId="14" borderId="8" applyNumberFormat="0" applyFont="0" applyAlignment="0" applyProtection="0"/>
    <xf numFmtId="0" fontId="23" fillId="0" borderId="0"/>
    <xf numFmtId="0" fontId="2" fillId="0" borderId="0"/>
    <xf numFmtId="0" fontId="16" fillId="0" borderId="9" applyNumberFormat="0" applyFill="0" applyAlignment="0" applyProtection="0"/>
    <xf numFmtId="0" fontId="11" fillId="12" borderId="7" applyNumberFormat="0" applyAlignment="0" applyProtection="0"/>
    <xf numFmtId="0" fontId="17" fillId="0" borderId="0" applyNumberFormat="0" applyFill="0" applyBorder="0" applyAlignment="0" applyProtection="0"/>
  </cellStyleXfs>
  <cellXfs count="72">
    <xf numFmtId="0" fontId="0" fillId="0" borderId="0" xfId="0"/>
    <xf numFmtId="0" fontId="20" fillId="15" borderId="10" xfId="20" applyFont="1" applyFill="1" applyBorder="1" applyAlignment="1">
      <alignment vertical="center" wrapText="1"/>
    </xf>
    <xf numFmtId="165" fontId="22" fillId="15" borderId="10" xfId="0" applyNumberFormat="1" applyFont="1" applyFill="1" applyBorder="1" applyAlignment="1">
      <alignment vertical="center" wrapText="1"/>
    </xf>
    <xf numFmtId="164" fontId="19" fillId="15" borderId="10" xfId="0" applyNumberFormat="1" applyFont="1" applyFill="1" applyBorder="1"/>
    <xf numFmtId="20" fontId="20" fillId="15" borderId="0" xfId="20" applyNumberFormat="1" applyFont="1" applyFill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2" fontId="0" fillId="0" borderId="0" xfId="0" applyNumberFormat="1"/>
    <xf numFmtId="0" fontId="24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4" fontId="24" fillId="0" borderId="10" xfId="0" applyNumberFormat="1" applyFont="1" applyBorder="1"/>
    <xf numFmtId="4" fontId="24" fillId="17" borderId="10" xfId="0" applyNumberFormat="1" applyFont="1" applyFill="1" applyBorder="1"/>
    <xf numFmtId="0" fontId="0" fillId="0" borderId="0" xfId="0" applyFill="1" applyBorder="1"/>
    <xf numFmtId="165" fontId="24" fillId="0" borderId="0" xfId="0" applyNumberFormat="1" applyFont="1"/>
    <xf numFmtId="164" fontId="24" fillId="0" borderId="0" xfId="0" applyNumberFormat="1" applyFont="1"/>
    <xf numFmtId="0" fontId="20" fillId="18" borderId="0" xfId="20" applyFont="1" applyFill="1" applyBorder="1" applyAlignment="1">
      <alignment vertical="center" wrapText="1"/>
    </xf>
    <xf numFmtId="0" fontId="20" fillId="18" borderId="10" xfId="20" applyFont="1" applyFill="1" applyBorder="1" applyAlignment="1">
      <alignment vertical="center" wrapText="1"/>
    </xf>
    <xf numFmtId="0" fontId="0" fillId="17" borderId="0" xfId="0" applyFill="1" applyBorder="1"/>
    <xf numFmtId="164" fontId="0" fillId="17" borderId="0" xfId="0" applyNumberFormat="1" applyFill="1" applyBorder="1"/>
    <xf numFmtId="2" fontId="28" fillId="17" borderId="0" xfId="0" applyNumberFormat="1" applyFont="1" applyFill="1" applyBorder="1" applyAlignment="1">
      <alignment vertical="center" wrapText="1"/>
    </xf>
    <xf numFmtId="4" fontId="0" fillId="17" borderId="0" xfId="0" applyNumberFormat="1" applyFill="1" applyBorder="1"/>
    <xf numFmtId="0" fontId="0" fillId="17" borderId="0" xfId="0" applyFill="1" applyBorder="1" applyAlignment="1">
      <alignment horizontal="right"/>
    </xf>
    <xf numFmtId="164" fontId="21" fillId="17" borderId="0" xfId="0" applyNumberFormat="1" applyFont="1" applyFill="1" applyBorder="1" applyAlignment="1">
      <alignment horizontal="right" vertical="center"/>
    </xf>
    <xf numFmtId="20" fontId="20" fillId="17" borderId="0" xfId="20" applyNumberFormat="1" applyFont="1" applyFill="1" applyBorder="1" applyAlignment="1">
      <alignment vertical="center" wrapText="1"/>
    </xf>
    <xf numFmtId="20" fontId="20" fillId="19" borderId="10" xfId="20" applyNumberFormat="1" applyFont="1" applyFill="1" applyBorder="1" applyAlignment="1">
      <alignment vertical="center" wrapText="1"/>
    </xf>
    <xf numFmtId="20" fontId="20" fillId="19" borderId="25" xfId="20" applyNumberFormat="1" applyFont="1" applyFill="1" applyBorder="1" applyAlignment="1">
      <alignment vertical="center" wrapText="1"/>
    </xf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26" xfId="0" applyFill="1" applyBorder="1"/>
    <xf numFmtId="0" fontId="0" fillId="0" borderId="26" xfId="0" applyFill="1" applyBorder="1" applyAlignment="1">
      <alignment horizontal="center"/>
    </xf>
    <xf numFmtId="4" fontId="24" fillId="0" borderId="10" xfId="0" applyNumberFormat="1" applyFont="1" applyFill="1" applyBorder="1"/>
    <xf numFmtId="0" fontId="0" fillId="0" borderId="0" xfId="0" applyFill="1"/>
    <xf numFmtId="4" fontId="0" fillId="0" borderId="0" xfId="0" applyNumberFormat="1" applyFill="1" applyBorder="1"/>
    <xf numFmtId="4" fontId="24" fillId="0" borderId="27" xfId="0" applyNumberFormat="1" applyFont="1" applyFill="1" applyBorder="1"/>
    <xf numFmtId="4" fontId="24" fillId="0" borderId="15" xfId="0" applyNumberFormat="1" applyFont="1" applyFill="1" applyBorder="1"/>
    <xf numFmtId="0" fontId="0" fillId="0" borderId="16" xfId="0" applyFill="1" applyBorder="1"/>
    <xf numFmtId="0" fontId="0" fillId="0" borderId="17" xfId="0" applyFill="1" applyBorder="1"/>
    <xf numFmtId="0" fontId="0" fillId="0" borderId="18" xfId="0" applyFill="1" applyBorder="1"/>
    <xf numFmtId="0" fontId="25" fillId="0" borderId="26" xfId="0" applyFont="1" applyFill="1" applyBorder="1" applyAlignment="1">
      <alignment horizontal="right"/>
    </xf>
    <xf numFmtId="167" fontId="0" fillId="0" borderId="0" xfId="0" applyNumberFormat="1" applyFill="1" applyBorder="1"/>
    <xf numFmtId="166" fontId="29" fillId="17" borderId="17" xfId="0" applyNumberFormat="1" applyFont="1" applyFill="1" applyBorder="1"/>
    <xf numFmtId="4" fontId="24" fillId="17" borderId="27" xfId="0" applyNumberFormat="1" applyFont="1" applyFill="1" applyBorder="1"/>
    <xf numFmtId="0" fontId="0" fillId="0" borderId="0" xfId="0" applyFont="1"/>
    <xf numFmtId="0" fontId="24" fillId="16" borderId="11" xfId="0" applyFont="1" applyFill="1" applyBorder="1"/>
    <xf numFmtId="0" fontId="0" fillId="0" borderId="26" xfId="0" applyBorder="1" applyAlignment="1">
      <alignment horizontal="right"/>
    </xf>
    <xf numFmtId="4" fontId="0" fillId="0" borderId="26" xfId="0" applyNumberFormat="1" applyBorder="1" applyAlignment="1">
      <alignment horizontal="right"/>
    </xf>
    <xf numFmtId="0" fontId="20" fillId="19" borderId="10" xfId="20" applyFont="1" applyFill="1" applyBorder="1" applyAlignment="1">
      <alignment vertical="center" wrapText="1"/>
    </xf>
    <xf numFmtId="164" fontId="30" fillId="0" borderId="0" xfId="0" applyNumberFormat="1" applyFont="1"/>
    <xf numFmtId="166" fontId="29" fillId="17" borderId="0" xfId="0" applyNumberFormat="1" applyFont="1" applyFill="1" applyBorder="1"/>
    <xf numFmtId="0" fontId="0" fillId="0" borderId="26" xfId="0" applyFont="1" applyFill="1" applyBorder="1"/>
    <xf numFmtId="4" fontId="0" fillId="0" borderId="26" xfId="0" applyNumberFormat="1" applyFont="1" applyFill="1" applyBorder="1"/>
    <xf numFmtId="165" fontId="26" fillId="0" borderId="28" xfId="0" applyNumberFormat="1" applyFont="1" applyFill="1" applyBorder="1" applyAlignment="1">
      <alignment horizontal="center"/>
    </xf>
    <xf numFmtId="165" fontId="26" fillId="16" borderId="28" xfId="0" applyNumberFormat="1" applyFont="1" applyFill="1" applyBorder="1" applyAlignment="1">
      <alignment horizontal="center"/>
    </xf>
    <xf numFmtId="3" fontId="0" fillId="0" borderId="0" xfId="0" applyNumberFormat="1"/>
    <xf numFmtId="0" fontId="0" fillId="15" borderId="10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/>
    </xf>
    <xf numFmtId="0" fontId="0" fillId="15" borderId="25" xfId="0" applyFill="1" applyBorder="1" applyAlignment="1">
      <alignment horizontal="center"/>
    </xf>
  </cellXfs>
  <cellStyles count="37">
    <cellStyle name="Excel Built-in Normal" xfId="1" xr:uid="{00000000-0005-0000-0000-000000000000}"/>
    <cellStyle name="Акцент1" xfId="2" builtinId="29" customBuiltin="1"/>
    <cellStyle name="Акцент2" xfId="3" builtinId="33" customBuiltin="1"/>
    <cellStyle name="Акцент3" xfId="4" builtinId="37" customBuiltin="1"/>
    <cellStyle name="Акцент4" xfId="5" builtinId="41" customBuiltin="1"/>
    <cellStyle name="Акцент5" xfId="6" builtinId="45" customBuiltin="1"/>
    <cellStyle name="Акцент6" xfId="7" builtinId="49" customBuiltin="1"/>
    <cellStyle name="Ввод " xfId="8" builtinId="20" customBuiltin="1"/>
    <cellStyle name="Вывод" xfId="9" builtinId="21" customBuiltin="1"/>
    <cellStyle name="Вычисление" xfId="10" builtinId="22" customBuiltin="1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00000000-0005-0000-0000-000013000000}"/>
    <cellStyle name="Обычный_Лист1" xfId="20" xr:uid="{00000000-0005-0000-0000-000014000000}"/>
    <cellStyle name="Плохой" xfId="21" builtinId="27" customBuiltin="1"/>
    <cellStyle name="Пояснение" xfId="22" builtinId="53" customBuiltin="1"/>
    <cellStyle name="Примечание" xfId="23" builtinId="10" customBuiltin="1"/>
    <cellStyle name="Примечание 2" xfId="24" xr:uid="{00000000-0005-0000-0000-000018000000}"/>
    <cellStyle name="Связанная ячейка" xfId="25" builtinId="24" customBuiltin="1"/>
    <cellStyle name="Текст предупреждения" xfId="26" builtinId="11" customBuiltin="1"/>
    <cellStyle name="Хороший" xfId="27" builtinId="26" customBuiltin="1"/>
    <cellStyle name="㼿" xfId="28" xr:uid="{00000000-0005-0000-0000-00001C000000}"/>
    <cellStyle name="㼿?" xfId="29" xr:uid="{00000000-0005-0000-0000-00001D000000}"/>
    <cellStyle name="㼿㼿" xfId="30" xr:uid="{00000000-0005-0000-0000-00001E000000}"/>
    <cellStyle name="㼿㼿?" xfId="31" xr:uid="{00000000-0005-0000-0000-00001F000000}"/>
    <cellStyle name="㼿㼿㼿" xfId="32" xr:uid="{00000000-0005-0000-0000-000020000000}"/>
    <cellStyle name="㼿㼿㼿?" xfId="33" xr:uid="{00000000-0005-0000-0000-000021000000}"/>
    <cellStyle name="㼿㼿㼿㼿" xfId="34" xr:uid="{00000000-0005-0000-0000-000022000000}"/>
    <cellStyle name="㼿㼿㼿㼿?" xfId="35" xr:uid="{00000000-0005-0000-0000-000023000000}"/>
    <cellStyle name="㼿㼿㼿㼿㼿" xfId="36" xr:uid="{00000000-0005-0000-0000-00002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6;&#1072;&#1073;&#1086;&#1090;&#1072;\&#1058;&#1077;&#1093;&#1085;&#1080;&#1095;&#1077;&#1089;&#1082;&#1080;&#1077;%20&#1074;&#1086;&#1087;&#1088;&#1086;&#1089;&#1099;\&#1052;&#1086;&#1097;&#1085;&#1086;&#1089;&#1090;&#1100;%20&#1079;&#1072;%20&#1084;&#1077;&#1089;&#1103;&#1094;%20&#1041;&#1057;&#1080;&#1083;&#1047;\2011\2010\&#1040;&#1055;%202010\&#1071;&#1085;&#1074;&#1072;&#1088;&#1100;%202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serverReportInfo_&amp;!()$bbQ"/>
      <sheetName val="Энергетика"/>
      <sheetName val="Полиграфкартон"/>
      <sheetName val="Полиграфкартон (без очистных)"/>
      <sheetName val="Очистные"/>
      <sheetName val="Салют+терм+Д-граф"/>
      <sheetName val="Салют-624"/>
      <sheetName val="Термаль+624"/>
      <sheetName val="Д-графикс"/>
      <sheetName val="Салют"/>
      <sheetName val="Термаль"/>
      <sheetName val="БСЗ+Теплоход"/>
      <sheetName val="БСЗ"/>
      <sheetName val="ЗНТ"/>
      <sheetName val="Биаксплен"/>
      <sheetName val="657"/>
      <sheetName val="660"/>
      <sheetName val="Биаксплен (опт)"/>
      <sheetName val="Империал"/>
      <sheetName val="АПЗ"/>
      <sheetName val="Сокол"/>
      <sheetName val="Service"/>
      <sheetName val="Добавк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M641"/>
  <sheetViews>
    <sheetView tabSelected="1" topLeftCell="T7" zoomScaleNormal="100" workbookViewId="0">
      <selection activeCell="AI22" sqref="AI22"/>
    </sheetView>
  </sheetViews>
  <sheetFormatPr defaultRowHeight="13.2" x14ac:dyDescent="0.25"/>
  <cols>
    <col min="1" max="1" width="4.77734375" customWidth="1"/>
    <col min="2" max="3" width="7.77734375" customWidth="1"/>
    <col min="4" max="4" width="6.77734375" customWidth="1"/>
    <col min="5" max="5" width="7.21875" customWidth="1"/>
    <col min="6" max="6" width="7.44140625" customWidth="1"/>
    <col min="7" max="25" width="7.77734375" customWidth="1"/>
    <col min="26" max="26" width="10.77734375" customWidth="1"/>
    <col min="29" max="29" width="10.5546875" bestFit="1" customWidth="1"/>
    <col min="30" max="30" width="7" customWidth="1"/>
    <col min="32" max="32" width="20.21875" customWidth="1"/>
    <col min="34" max="34" width="12.77734375" customWidth="1"/>
    <col min="35" max="35" width="16.77734375" customWidth="1"/>
    <col min="36" max="36" width="9.5546875" bestFit="1" customWidth="1"/>
    <col min="37" max="37" width="10.44140625" customWidth="1"/>
    <col min="39" max="39" width="11.44140625" customWidth="1"/>
  </cols>
  <sheetData>
    <row r="1" spans="1:39" x14ac:dyDescent="0.25">
      <c r="A1" s="69"/>
      <c r="B1" s="70" t="s">
        <v>37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1"/>
      <c r="Z1" s="69" t="s">
        <v>0</v>
      </c>
    </row>
    <row r="2" spans="1:39" ht="24.6" thickBot="1" x14ac:dyDescent="0.3">
      <c r="A2" s="69"/>
      <c r="B2" s="37" t="s">
        <v>1</v>
      </c>
      <c r="C2" s="37" t="s">
        <v>2</v>
      </c>
      <c r="D2" s="37" t="s">
        <v>3</v>
      </c>
      <c r="E2" s="37" t="s">
        <v>4</v>
      </c>
      <c r="F2" s="37" t="s">
        <v>5</v>
      </c>
      <c r="G2" s="37" t="s">
        <v>6</v>
      </c>
      <c r="H2" s="37" t="s">
        <v>7</v>
      </c>
      <c r="I2" s="37" t="s">
        <v>8</v>
      </c>
      <c r="J2" s="37" t="s">
        <v>9</v>
      </c>
      <c r="K2" s="37" t="s">
        <v>10</v>
      </c>
      <c r="L2" s="37" t="s">
        <v>11</v>
      </c>
      <c r="M2" s="37" t="s">
        <v>12</v>
      </c>
      <c r="N2" s="37" t="s">
        <v>13</v>
      </c>
      <c r="O2" s="37" t="s">
        <v>14</v>
      </c>
      <c r="P2" s="37" t="s">
        <v>15</v>
      </c>
      <c r="Q2" s="37" t="s">
        <v>16</v>
      </c>
      <c r="R2" s="37" t="s">
        <v>17</v>
      </c>
      <c r="S2" s="37" t="s">
        <v>18</v>
      </c>
      <c r="T2" s="37" t="s">
        <v>19</v>
      </c>
      <c r="U2" s="37" t="s">
        <v>20</v>
      </c>
      <c r="V2" s="37" t="s">
        <v>21</v>
      </c>
      <c r="W2" s="37" t="s">
        <v>22</v>
      </c>
      <c r="X2" s="37" t="s">
        <v>23</v>
      </c>
      <c r="Y2" s="38" t="s">
        <v>24</v>
      </c>
      <c r="Z2" s="69"/>
      <c r="AA2" s="4" t="s">
        <v>25</v>
      </c>
      <c r="AD2" t="s">
        <v>35</v>
      </c>
    </row>
    <row r="3" spans="1:39" x14ac:dyDescent="0.25">
      <c r="A3" s="1">
        <v>1</v>
      </c>
      <c r="B3" s="66">
        <v>6.4378245443946929</v>
      </c>
      <c r="C3" s="66">
        <v>6.7256983808366764</v>
      </c>
      <c r="D3" s="66">
        <v>6.725536792224319</v>
      </c>
      <c r="E3" s="66">
        <v>6.3856095928254826</v>
      </c>
      <c r="F3" s="66">
        <v>6.4146488823321031</v>
      </c>
      <c r="G3" s="66">
        <v>6.5736098697266367</v>
      </c>
      <c r="H3" s="66">
        <v>6.755388265648036</v>
      </c>
      <c r="I3" s="67">
        <v>6.5341963024441796</v>
      </c>
      <c r="J3" s="67">
        <v>6.3562565255631647</v>
      </c>
      <c r="K3" s="67">
        <v>6.6918638568657673</v>
      </c>
      <c r="L3" s="67">
        <v>6.965042459261741</v>
      </c>
      <c r="M3" s="67">
        <v>7.0643201462680398</v>
      </c>
      <c r="N3" s="67">
        <v>7.0552208774304876</v>
      </c>
      <c r="O3" s="67">
        <v>6.8383747530436949</v>
      </c>
      <c r="P3" s="67">
        <v>7.0779423408496589</v>
      </c>
      <c r="Q3" s="67">
        <v>7.1508670850774561</v>
      </c>
      <c r="R3" s="67">
        <v>6.7631179649414719</v>
      </c>
      <c r="S3" s="67">
        <v>6.8888861619525761</v>
      </c>
      <c r="T3" s="67">
        <v>6.7070459380398475</v>
      </c>
      <c r="U3" s="67">
        <v>6.6798349872323923</v>
      </c>
      <c r="V3" s="67">
        <v>6.5556965051320724</v>
      </c>
      <c r="W3" s="66">
        <v>6.4004230942200433</v>
      </c>
      <c r="X3" s="66">
        <v>6.5482909870606782</v>
      </c>
      <c r="Y3" s="66">
        <v>6.268277593543262</v>
      </c>
      <c r="Z3" s="2">
        <f t="shared" ref="Z3:Z33" si="0">SUM(B3:Y3)</f>
        <v>160.56397390691447</v>
      </c>
      <c r="AA3" s="61">
        <v>1</v>
      </c>
      <c r="AB3" s="5">
        <v>0</v>
      </c>
      <c r="AC3" s="5">
        <v>0</v>
      </c>
      <c r="AD3" s="68"/>
      <c r="AE3" s="5"/>
      <c r="AF3" s="8" t="s">
        <v>36</v>
      </c>
      <c r="AG3" s="20" t="s">
        <v>29</v>
      </c>
      <c r="AH3" s="21"/>
      <c r="AI3" s="22"/>
    </row>
    <row r="4" spans="1:39" x14ac:dyDescent="0.25">
      <c r="A4" s="1">
        <v>2</v>
      </c>
      <c r="B4" s="66">
        <v>6.4490054685161331</v>
      </c>
      <c r="C4" s="66">
        <v>6.3585143094456349</v>
      </c>
      <c r="D4" s="66">
        <v>6.3858888003869092</v>
      </c>
      <c r="E4" s="66">
        <v>6.5217097952779826</v>
      </c>
      <c r="F4" s="66">
        <v>6.4636848489747099</v>
      </c>
      <c r="G4" s="66">
        <v>6.4189649035488907</v>
      </c>
      <c r="H4" s="66">
        <v>6.3631932355204306</v>
      </c>
      <c r="I4" s="67">
        <v>6.4267090578476669</v>
      </c>
      <c r="J4" s="67">
        <v>6.7372404001840644</v>
      </c>
      <c r="K4" s="67">
        <v>6.705960579368127</v>
      </c>
      <c r="L4" s="67">
        <v>6.9571678668315347</v>
      </c>
      <c r="M4" s="67">
        <v>7.1107212617173161</v>
      </c>
      <c r="N4" s="67">
        <v>7.0609346732384983</v>
      </c>
      <c r="O4" s="67">
        <v>7.2920830940616179</v>
      </c>
      <c r="P4" s="67">
        <v>7.86570871452916</v>
      </c>
      <c r="Q4" s="67">
        <v>6.7917788061076152</v>
      </c>
      <c r="R4" s="67">
        <v>7.7194285785286167</v>
      </c>
      <c r="S4" s="67">
        <v>7.8314869770967537</v>
      </c>
      <c r="T4" s="67">
        <v>7.160980731695048</v>
      </c>
      <c r="U4" s="67">
        <v>7.2967954289221435</v>
      </c>
      <c r="V4" s="67">
        <v>6.871258897540101</v>
      </c>
      <c r="W4" s="66">
        <v>6.8057885223302774</v>
      </c>
      <c r="X4" s="66">
        <v>7.762853459298344</v>
      </c>
      <c r="Y4" s="66">
        <v>7.7743291731082946</v>
      </c>
      <c r="Z4" s="2">
        <f t="shared" si="0"/>
        <v>167.13218758407589</v>
      </c>
      <c r="AA4" s="61">
        <v>2</v>
      </c>
      <c r="AB4" s="5">
        <v>0</v>
      </c>
      <c r="AC4" s="5">
        <v>0</v>
      </c>
      <c r="AD4" s="68"/>
      <c r="AE4" s="62"/>
      <c r="AF4" s="9"/>
      <c r="AG4" s="10"/>
      <c r="AH4" s="10"/>
      <c r="AI4" s="10"/>
      <c r="AJ4" s="10"/>
      <c r="AK4" s="11"/>
    </row>
    <row r="5" spans="1:39" x14ac:dyDescent="0.25">
      <c r="A5" s="29">
        <v>3</v>
      </c>
      <c r="B5" s="66">
        <v>6.5255702051604576</v>
      </c>
      <c r="C5" s="66">
        <v>7.2955842879696053</v>
      </c>
      <c r="D5" s="66">
        <v>7.7757129653921817</v>
      </c>
      <c r="E5" s="66">
        <v>6.7223405898325854</v>
      </c>
      <c r="F5" s="66">
        <v>7.4750572731826725</v>
      </c>
      <c r="G5" s="66">
        <v>8.1381356924648642</v>
      </c>
      <c r="H5" s="66">
        <v>6.5571399734569358</v>
      </c>
      <c r="I5" s="67">
        <v>7.8020435617708017</v>
      </c>
      <c r="J5" s="67">
        <v>8.3079501136047433</v>
      </c>
      <c r="K5" s="67">
        <v>7.5129239913915606</v>
      </c>
      <c r="L5" s="67">
        <v>7.0481262479454019</v>
      </c>
      <c r="M5" s="67">
        <v>8.514719677866287</v>
      </c>
      <c r="N5" s="67">
        <v>8.5715296245720491</v>
      </c>
      <c r="O5" s="67">
        <v>7.3396644408970371</v>
      </c>
      <c r="P5" s="67">
        <v>6.8190012887583009</v>
      </c>
      <c r="Q5" s="67">
        <v>7.8550190552373689</v>
      </c>
      <c r="R5" s="67">
        <v>8.4344310725530338</v>
      </c>
      <c r="S5" s="67">
        <v>7.5578464529108444</v>
      </c>
      <c r="T5" s="67">
        <v>7.6850442639033316</v>
      </c>
      <c r="U5" s="67">
        <v>7.8601755100026631</v>
      </c>
      <c r="V5" s="67">
        <v>7.1636405547413879</v>
      </c>
      <c r="W5" s="66">
        <v>7.9681811447824984</v>
      </c>
      <c r="X5" s="66">
        <v>6.9926022104252672</v>
      </c>
      <c r="Y5" s="66">
        <v>6.8257983354437375</v>
      </c>
      <c r="Z5" s="2">
        <f t="shared" si="0"/>
        <v>180.74823853426565</v>
      </c>
      <c r="AA5" s="61">
        <v>3</v>
      </c>
      <c r="AB5" s="5">
        <v>0</v>
      </c>
      <c r="AC5" s="5">
        <v>0</v>
      </c>
      <c r="AD5" s="68"/>
      <c r="AE5" s="62"/>
      <c r="AF5" s="12" t="s">
        <v>31</v>
      </c>
      <c r="AG5" s="13"/>
      <c r="AH5" s="13"/>
      <c r="AI5" s="13"/>
      <c r="AJ5" s="13"/>
      <c r="AK5" s="59"/>
    </row>
    <row r="6" spans="1:39" x14ac:dyDescent="0.25">
      <c r="A6" s="29">
        <v>4</v>
      </c>
      <c r="B6" s="66">
        <v>7.4010514555960709</v>
      </c>
      <c r="C6" s="66">
        <v>7.1189912207381276</v>
      </c>
      <c r="D6" s="66">
        <v>7.3591675959060669</v>
      </c>
      <c r="E6" s="66">
        <v>7.1784769081659485</v>
      </c>
      <c r="F6" s="66">
        <v>7.2177209535005575</v>
      </c>
      <c r="G6" s="66">
        <v>7.6639537849596326</v>
      </c>
      <c r="H6" s="66">
        <v>7.727813668526875</v>
      </c>
      <c r="I6" s="67">
        <v>7.7786370628970856</v>
      </c>
      <c r="J6" s="67">
        <v>7.4287089028645639</v>
      </c>
      <c r="K6" s="67">
        <v>7.9030764697252947</v>
      </c>
      <c r="L6" s="67">
        <v>8.0728538994951364</v>
      </c>
      <c r="M6" s="67">
        <v>8.0994690045332565</v>
      </c>
      <c r="N6" s="67">
        <v>8.0872607478576732</v>
      </c>
      <c r="O6" s="67">
        <v>8.3442646326462544</v>
      </c>
      <c r="P6" s="67">
        <v>8.3315287678216681</v>
      </c>
      <c r="Q6" s="67">
        <v>8.2072190276649675</v>
      </c>
      <c r="R6" s="67">
        <v>8.0565509144572047</v>
      </c>
      <c r="S6" s="67">
        <v>7.8803131608355264</v>
      </c>
      <c r="T6" s="67">
        <v>7.8354059429340399</v>
      </c>
      <c r="U6" s="67">
        <v>7.8825499717600342</v>
      </c>
      <c r="V6" s="67">
        <v>7.9147747161326558</v>
      </c>
      <c r="W6" s="66">
        <v>7.7586594798281352</v>
      </c>
      <c r="X6" s="66">
        <v>7.626303719385108</v>
      </c>
      <c r="Y6" s="66">
        <v>7.7044568423187387</v>
      </c>
      <c r="Z6" s="2">
        <f t="shared" si="0"/>
        <v>186.57920885055063</v>
      </c>
      <c r="AA6" s="61">
        <v>4</v>
      </c>
      <c r="AB6" s="5">
        <v>0</v>
      </c>
      <c r="AC6" s="5">
        <v>0</v>
      </c>
      <c r="AD6" s="68"/>
      <c r="AE6" s="62"/>
      <c r="AF6" s="12"/>
      <c r="AG6" s="13"/>
      <c r="AH6" s="13"/>
      <c r="AI6" s="13"/>
      <c r="AJ6" s="13"/>
      <c r="AK6" s="60"/>
    </row>
    <row r="7" spans="1:39" x14ac:dyDescent="0.25">
      <c r="A7" s="29">
        <v>5</v>
      </c>
      <c r="B7" s="66">
        <v>7.7632771533848022</v>
      </c>
      <c r="C7" s="66">
        <v>7.7398886044122452</v>
      </c>
      <c r="D7" s="66">
        <v>7.8573493756620385</v>
      </c>
      <c r="E7" s="66">
        <v>7.773741169438118</v>
      </c>
      <c r="F7" s="66">
        <v>7.6237975829890487</v>
      </c>
      <c r="G7" s="66">
        <v>7.8504521116053514</v>
      </c>
      <c r="H7" s="66">
        <v>7.6105039678634059</v>
      </c>
      <c r="I7" s="67">
        <v>7.765229151004732</v>
      </c>
      <c r="J7" s="67">
        <v>7.9966927388191564</v>
      </c>
      <c r="K7" s="67">
        <v>8.1132726216355646</v>
      </c>
      <c r="L7" s="67">
        <v>8.1312175510475662</v>
      </c>
      <c r="M7" s="67">
        <v>7.2441476638086773</v>
      </c>
      <c r="N7" s="67">
        <v>8.0781168336734961</v>
      </c>
      <c r="O7" s="67">
        <v>8.1054860096451105</v>
      </c>
      <c r="P7" s="67">
        <v>8.0442265603424996</v>
      </c>
      <c r="Q7" s="67">
        <v>8.0035432464242309</v>
      </c>
      <c r="R7" s="67">
        <v>7.1468293437335459</v>
      </c>
      <c r="S7" s="67">
        <v>7.9662096262688937</v>
      </c>
      <c r="T7" s="67">
        <v>8.2239270643964382</v>
      </c>
      <c r="U7" s="67">
        <v>8.1232330502503487</v>
      </c>
      <c r="V7" s="67">
        <v>8.1403838694422443</v>
      </c>
      <c r="W7" s="66">
        <v>7.3222062739687894</v>
      </c>
      <c r="X7" s="66">
        <v>8.203406603405984</v>
      </c>
      <c r="Y7" s="66">
        <v>8.0929846602406066</v>
      </c>
      <c r="Z7" s="2">
        <f t="shared" si="0"/>
        <v>188.9201228334629</v>
      </c>
      <c r="AA7" s="61">
        <v>5</v>
      </c>
      <c r="AB7" s="5">
        <v>0</v>
      </c>
      <c r="AC7" s="5">
        <v>0</v>
      </c>
      <c r="AD7" s="68"/>
      <c r="AE7" s="62"/>
      <c r="AF7" s="24">
        <v>0</v>
      </c>
      <c r="AG7" s="13"/>
      <c r="AH7" s="13"/>
      <c r="AI7" s="24">
        <v>0</v>
      </c>
      <c r="AL7" s="12"/>
      <c r="AM7" t="s">
        <v>40</v>
      </c>
    </row>
    <row r="8" spans="1:39" x14ac:dyDescent="0.25">
      <c r="A8" s="29">
        <v>6</v>
      </c>
      <c r="B8" s="66">
        <v>8.2619945107440049</v>
      </c>
      <c r="C8" s="66">
        <v>8.2531050887923563</v>
      </c>
      <c r="D8" s="66">
        <v>8.3093707637736447</v>
      </c>
      <c r="E8" s="66">
        <v>8.0638739012360627</v>
      </c>
      <c r="F8" s="66">
        <v>8.1128536467842718</v>
      </c>
      <c r="G8" s="66">
        <v>8.0747218798955434</v>
      </c>
      <c r="H8" s="66">
        <v>8.2257973134170363</v>
      </c>
      <c r="I8" s="67">
        <v>8.086237429298242</v>
      </c>
      <c r="J8" s="67">
        <v>8.1636296547355567</v>
      </c>
      <c r="K8" s="67">
        <v>8.1702422654391551</v>
      </c>
      <c r="L8" s="67">
        <v>8.1116460494961355</v>
      </c>
      <c r="M8" s="67">
        <v>8.2498229677241657</v>
      </c>
      <c r="N8" s="67">
        <v>8.1132286520963994</v>
      </c>
      <c r="O8" s="67">
        <v>8.2378767313391794</v>
      </c>
      <c r="P8" s="67">
        <v>8.2094420309779785</v>
      </c>
      <c r="Q8" s="67">
        <v>8.2767132053219097</v>
      </c>
      <c r="R8" s="67">
        <v>8.175550703419777</v>
      </c>
      <c r="S8" s="67">
        <v>8.1594282965611651</v>
      </c>
      <c r="T8" s="67">
        <v>8.1302413152455753</v>
      </c>
      <c r="U8" s="67">
        <v>8.17739429383737</v>
      </c>
      <c r="V8" s="67">
        <v>8.1747893736585162</v>
      </c>
      <c r="W8" s="66">
        <v>8.2402193106954478</v>
      </c>
      <c r="X8" s="66">
        <v>8.1450338107688474</v>
      </c>
      <c r="Y8" s="66">
        <v>8.3638174144008275</v>
      </c>
      <c r="Z8" s="2">
        <f t="shared" si="0"/>
        <v>196.48703060965914</v>
      </c>
      <c r="AA8" s="61">
        <v>6</v>
      </c>
      <c r="AB8" s="5">
        <v>0</v>
      </c>
      <c r="AC8" s="5">
        <v>0</v>
      </c>
      <c r="AD8" s="68"/>
      <c r="AE8" s="62"/>
      <c r="AF8" s="12"/>
      <c r="AG8" s="13"/>
      <c r="AH8" s="13"/>
      <c r="AI8" s="12"/>
      <c r="AL8" s="12"/>
      <c r="AM8">
        <v>496.83</v>
      </c>
    </row>
    <row r="9" spans="1:39" x14ac:dyDescent="0.25">
      <c r="A9" s="29">
        <v>7</v>
      </c>
      <c r="B9" s="66">
        <v>8.3161180884424102</v>
      </c>
      <c r="C9" s="66">
        <v>8.3007660638548533</v>
      </c>
      <c r="D9" s="66">
        <v>7.7896295963526008</v>
      </c>
      <c r="E9" s="66">
        <v>8.1472272928083846</v>
      </c>
      <c r="F9" s="66">
        <v>8.1621181151870861</v>
      </c>
      <c r="G9" s="66">
        <v>8.0608076498185302</v>
      </c>
      <c r="H9" s="66">
        <v>8.0072413456255376</v>
      </c>
      <c r="I9" s="67">
        <v>7.5386117282969725</v>
      </c>
      <c r="J9" s="67">
        <v>7.6280540011963236</v>
      </c>
      <c r="K9" s="67">
        <v>7.8298167007168509</v>
      </c>
      <c r="L9" s="67">
        <v>8.2113075181322692</v>
      </c>
      <c r="M9" s="67">
        <v>8.1104577947824339</v>
      </c>
      <c r="N9" s="67">
        <v>8.2695761593517645</v>
      </c>
      <c r="O9" s="67">
        <v>8.1521625760481111</v>
      </c>
      <c r="P9" s="67">
        <v>8.1416564604115855</v>
      </c>
      <c r="Q9" s="67">
        <v>8.3535887028144007</v>
      </c>
      <c r="R9" s="67">
        <v>8.2595914517032316</v>
      </c>
      <c r="S9" s="67">
        <v>7.9444376569540109</v>
      </c>
      <c r="T9" s="67">
        <v>7.8507894157467737</v>
      </c>
      <c r="U9" s="67">
        <v>7.6912284320821058</v>
      </c>
      <c r="V9" s="67">
        <v>7.6562160741604881</v>
      </c>
      <c r="W9" s="66">
        <v>7.6087664372184856</v>
      </c>
      <c r="X9" s="66">
        <v>7.6031242554924807</v>
      </c>
      <c r="Y9" s="66">
        <v>7.5893290422765824</v>
      </c>
      <c r="Z9" s="2">
        <f t="shared" si="0"/>
        <v>191.22262255947427</v>
      </c>
      <c r="AA9" s="61">
        <v>7</v>
      </c>
      <c r="AB9" s="5">
        <v>0</v>
      </c>
      <c r="AC9" s="5">
        <v>0</v>
      </c>
      <c r="AD9" s="68"/>
      <c r="AF9" s="12" t="s">
        <v>27</v>
      </c>
      <c r="AG9" s="13"/>
      <c r="AH9" s="13"/>
      <c r="AI9" s="12" t="s">
        <v>27</v>
      </c>
      <c r="AL9" s="12"/>
    </row>
    <row r="10" spans="1:39" x14ac:dyDescent="0.25">
      <c r="A10" s="29">
        <v>8</v>
      </c>
      <c r="B10" s="66">
        <v>7.6465678877141787</v>
      </c>
      <c r="C10" s="66">
        <v>7.6667044254951326</v>
      </c>
      <c r="D10" s="66">
        <v>7.6169754026808807</v>
      </c>
      <c r="E10" s="66">
        <v>9.6066012889662282</v>
      </c>
      <c r="F10" s="66">
        <v>7.5537373210067367</v>
      </c>
      <c r="G10" s="66">
        <v>7.5471047864187106</v>
      </c>
      <c r="H10" s="66">
        <v>7.4417283686042452</v>
      </c>
      <c r="I10" s="67">
        <v>7.4159062066205639</v>
      </c>
      <c r="J10" s="67">
        <v>7.6781711174946015</v>
      </c>
      <c r="K10" s="67">
        <v>7.4709655879197951</v>
      </c>
      <c r="L10" s="67">
        <v>7.6728229881931558</v>
      </c>
      <c r="M10" s="67">
        <v>7.5669985447319634</v>
      </c>
      <c r="N10" s="67">
        <v>7.7065830313711761</v>
      </c>
      <c r="O10" s="67">
        <v>6.4692413755044056</v>
      </c>
      <c r="P10" s="67">
        <v>6.8109260496405533</v>
      </c>
      <c r="Q10" s="67">
        <v>7.2748841334856928</v>
      </c>
      <c r="R10" s="67">
        <v>7.4838429333787477</v>
      </c>
      <c r="S10" s="67">
        <v>6.9077040509803078</v>
      </c>
      <c r="T10" s="67">
        <v>7.0356717508255624</v>
      </c>
      <c r="U10" s="67">
        <v>7.3163259828199756</v>
      </c>
      <c r="V10" s="67">
        <v>7.3223419420483147</v>
      </c>
      <c r="W10" s="66">
        <v>7.3960474836511247</v>
      </c>
      <c r="X10" s="66">
        <v>7.3063964254293321</v>
      </c>
      <c r="Y10" s="66">
        <v>7.4005048455968163</v>
      </c>
      <c r="Z10" s="2">
        <f t="shared" si="0"/>
        <v>179.31475393057823</v>
      </c>
      <c r="AA10" s="61">
        <v>8</v>
      </c>
      <c r="AB10" s="5">
        <v>0</v>
      </c>
      <c r="AC10" s="5">
        <v>0</v>
      </c>
      <c r="AD10" s="68"/>
      <c r="AF10" s="12"/>
      <c r="AG10" s="13"/>
      <c r="AH10" s="13"/>
      <c r="AI10" s="12"/>
      <c r="AL10" s="12"/>
      <c r="AM10" t="s">
        <v>38</v>
      </c>
    </row>
    <row r="11" spans="1:39" x14ac:dyDescent="0.25">
      <c r="A11" s="29">
        <v>9</v>
      </c>
      <c r="B11" s="66">
        <v>7.378922071785821</v>
      </c>
      <c r="C11" s="66">
        <v>7.1434496499606501</v>
      </c>
      <c r="D11" s="66">
        <v>7.2834990390287766</v>
      </c>
      <c r="E11" s="66">
        <v>7.2437641645296047</v>
      </c>
      <c r="F11" s="66">
        <v>7.2661085313697402</v>
      </c>
      <c r="G11" s="66">
        <v>5.3197993923952742</v>
      </c>
      <c r="H11" s="66">
        <v>5.4207305066380798</v>
      </c>
      <c r="I11" s="67">
        <v>5.6365205908292175</v>
      </c>
      <c r="J11" s="67">
        <v>6.654588729574396</v>
      </c>
      <c r="K11" s="67">
        <v>7.502299393183252</v>
      </c>
      <c r="L11" s="67">
        <v>7.705649354992631</v>
      </c>
      <c r="M11" s="67">
        <v>7.8603632415809725</v>
      </c>
      <c r="N11" s="67">
        <v>7.8775452553512597</v>
      </c>
      <c r="O11" s="67">
        <v>8.0323166644803212</v>
      </c>
      <c r="P11" s="67">
        <v>8.1824630825867821</v>
      </c>
      <c r="Q11" s="67">
        <v>8.2639878186070597</v>
      </c>
      <c r="R11" s="67">
        <v>7.5800943617874603</v>
      </c>
      <c r="S11" s="67">
        <v>8.0011891958114187</v>
      </c>
      <c r="T11" s="67">
        <v>7.9458086975724047</v>
      </c>
      <c r="U11" s="67">
        <v>8.1003852924064876</v>
      </c>
      <c r="V11" s="67">
        <v>8.0758402498758652</v>
      </c>
      <c r="W11" s="66">
        <v>8.1149905127258091</v>
      </c>
      <c r="X11" s="66">
        <v>8.2130873967836067</v>
      </c>
      <c r="Y11" s="66">
        <v>8.1486400075409637</v>
      </c>
      <c r="Z11" s="2">
        <f t="shared" si="0"/>
        <v>178.95204320139783</v>
      </c>
      <c r="AA11" s="61">
        <v>9</v>
      </c>
      <c r="AB11" s="5">
        <v>0</v>
      </c>
      <c r="AC11" s="5">
        <v>0</v>
      </c>
      <c r="AD11" s="68"/>
      <c r="AF11" s="23">
        <f>AC34*(AM11+AM8)</f>
        <v>2484.15</v>
      </c>
      <c r="AG11" s="13"/>
      <c r="AH11" s="13"/>
      <c r="AI11" s="23">
        <f>AC34*(AM11+AM8)</f>
        <v>2484.15</v>
      </c>
      <c r="AJ11" s="25"/>
      <c r="AK11" s="25"/>
      <c r="AL11" s="12"/>
      <c r="AM11" s="6">
        <v>0</v>
      </c>
    </row>
    <row r="12" spans="1:39" x14ac:dyDescent="0.25">
      <c r="A12" s="29">
        <v>10</v>
      </c>
      <c r="B12" s="66">
        <v>8.307975938201464</v>
      </c>
      <c r="C12" s="66">
        <v>8.339777814333722</v>
      </c>
      <c r="D12" s="66">
        <v>8.3240426598184314</v>
      </c>
      <c r="E12" s="66">
        <v>8.3766441614319707</v>
      </c>
      <c r="F12" s="66">
        <v>8.3291267831156546</v>
      </c>
      <c r="G12" s="66">
        <v>7.8540503357125981</v>
      </c>
      <c r="H12" s="66">
        <v>7.9327976412675545</v>
      </c>
      <c r="I12" s="67">
        <v>7.9144766555763786</v>
      </c>
      <c r="J12" s="67">
        <v>8.2870087034056823</v>
      </c>
      <c r="K12" s="67">
        <v>8.5380764181877247</v>
      </c>
      <c r="L12" s="67">
        <v>8.8793910561256393</v>
      </c>
      <c r="M12" s="67">
        <v>8.6779334508356119</v>
      </c>
      <c r="N12" s="67">
        <v>8.6396413179476124</v>
      </c>
      <c r="O12" s="67">
        <v>8.6139258646294667</v>
      </c>
      <c r="P12" s="67">
        <v>8.4441713654423971</v>
      </c>
      <c r="Q12" s="67">
        <v>8.4273090486754132</v>
      </c>
      <c r="R12" s="67">
        <v>8.4082072570487973</v>
      </c>
      <c r="S12" s="67">
        <v>8.3386287457577932</v>
      </c>
      <c r="T12" s="67">
        <v>8.4218275487928267</v>
      </c>
      <c r="U12" s="67">
        <v>8.3841742813000977</v>
      </c>
      <c r="V12" s="67">
        <v>8.3382050464182011</v>
      </c>
      <c r="W12" s="66">
        <v>8.1683901719927068</v>
      </c>
      <c r="X12" s="66">
        <v>8.1758307972883486</v>
      </c>
      <c r="Y12" s="66">
        <v>8.4717291662974095</v>
      </c>
      <c r="Z12" s="2">
        <f t="shared" si="0"/>
        <v>200.59334222960354</v>
      </c>
      <c r="AA12" s="61">
        <v>10</v>
      </c>
      <c r="AB12" s="5">
        <v>0</v>
      </c>
      <c r="AC12" s="5">
        <v>0</v>
      </c>
      <c r="AD12" s="68"/>
      <c r="AF12" s="12"/>
      <c r="AG12" s="13"/>
      <c r="AH12" s="13"/>
      <c r="AI12" s="12"/>
      <c r="AL12" s="12"/>
    </row>
    <row r="13" spans="1:39" x14ac:dyDescent="0.25">
      <c r="A13" s="29">
        <v>11</v>
      </c>
      <c r="B13" s="66">
        <v>8.4109348396282186</v>
      </c>
      <c r="C13" s="66">
        <v>8.6743089890430394</v>
      </c>
      <c r="D13" s="66">
        <v>8.7240490613686106</v>
      </c>
      <c r="E13" s="66">
        <v>8.6126498095909803</v>
      </c>
      <c r="F13" s="66">
        <v>8.5848174154605985</v>
      </c>
      <c r="G13" s="66">
        <v>8.4762261830624048</v>
      </c>
      <c r="H13" s="66">
        <v>8.4198263677160803</v>
      </c>
      <c r="I13" s="67">
        <v>8.4035582402905735</v>
      </c>
      <c r="J13" s="67">
        <v>8.274618567508881</v>
      </c>
      <c r="K13" s="67">
        <v>8.3044089164435988</v>
      </c>
      <c r="L13" s="67">
        <v>8.5158280200378762</v>
      </c>
      <c r="M13" s="67">
        <v>8.6501746691140884</v>
      </c>
      <c r="N13" s="67">
        <v>8.5157505315344117</v>
      </c>
      <c r="O13" s="67">
        <v>8.6908168712147571</v>
      </c>
      <c r="P13" s="67">
        <v>8.4994858669725435</v>
      </c>
      <c r="Q13" s="67">
        <v>8.4692261260960358</v>
      </c>
      <c r="R13" s="67">
        <v>8.4782942721293253</v>
      </c>
      <c r="S13" s="67">
        <v>8.0225242053789625</v>
      </c>
      <c r="T13" s="67">
        <v>7.9894987321925912</v>
      </c>
      <c r="U13" s="67">
        <v>8.406153430839014</v>
      </c>
      <c r="V13" s="67">
        <v>8.517748851695222</v>
      </c>
      <c r="W13" s="66">
        <v>8.1307407269768124</v>
      </c>
      <c r="X13" s="66">
        <v>8.7269011505035508</v>
      </c>
      <c r="Y13" s="66">
        <v>8.4990903231511759</v>
      </c>
      <c r="Z13" s="2">
        <f t="shared" si="0"/>
        <v>202.99763216794938</v>
      </c>
      <c r="AA13" s="61">
        <v>11</v>
      </c>
      <c r="AB13" s="5">
        <v>0</v>
      </c>
      <c r="AC13" s="5">
        <v>0</v>
      </c>
      <c r="AD13" s="68"/>
      <c r="AF13" s="12"/>
      <c r="AG13" s="13"/>
      <c r="AH13" s="13"/>
      <c r="AI13" s="12"/>
      <c r="AL13" s="12"/>
      <c r="AM13" t="s">
        <v>39</v>
      </c>
    </row>
    <row r="14" spans="1:39" x14ac:dyDescent="0.25">
      <c r="A14" s="29">
        <v>12</v>
      </c>
      <c r="B14" s="66">
        <v>7.6233805991493711</v>
      </c>
      <c r="C14" s="66">
        <v>7.2594017658844914</v>
      </c>
      <c r="D14" s="66">
        <v>7.9968216657770821</v>
      </c>
      <c r="E14" s="66">
        <v>8.2095999074990775</v>
      </c>
      <c r="F14" s="66">
        <v>8.1540139643456939</v>
      </c>
      <c r="G14" s="66">
        <v>7.5254589666136891</v>
      </c>
      <c r="H14" s="66">
        <v>7.5476064976324491</v>
      </c>
      <c r="I14" s="67">
        <v>7.4249143210051312</v>
      </c>
      <c r="J14" s="67">
        <v>7.3136924421763299</v>
      </c>
      <c r="K14" s="67">
        <v>7.2912842680291572</v>
      </c>
      <c r="L14" s="67">
        <v>6.8537050603716914</v>
      </c>
      <c r="M14" s="67">
        <v>6.3707816257966821</v>
      </c>
      <c r="N14" s="67">
        <v>7.4282628346343387</v>
      </c>
      <c r="O14" s="67">
        <v>7.5044182393027326</v>
      </c>
      <c r="P14" s="67">
        <v>7.0452621020472002</v>
      </c>
      <c r="Q14" s="67">
        <v>7.7830587789865957</v>
      </c>
      <c r="R14" s="67">
        <v>7.8414748153937825</v>
      </c>
      <c r="S14" s="67">
        <v>7.7480320808176142</v>
      </c>
      <c r="T14" s="67">
        <v>7.6581729147452133</v>
      </c>
      <c r="U14" s="67">
        <v>6.9165782492234475</v>
      </c>
      <c r="V14" s="67">
        <v>6.6536332198002901</v>
      </c>
      <c r="W14" s="66">
        <v>6.7162573106775358</v>
      </c>
      <c r="X14" s="66">
        <v>7.4739830168437029</v>
      </c>
      <c r="Y14" s="66">
        <v>7.7505773022497531</v>
      </c>
      <c r="Z14" s="2">
        <f t="shared" si="0"/>
        <v>178.0903719490031</v>
      </c>
      <c r="AA14" s="61">
        <v>12</v>
      </c>
      <c r="AB14" s="5">
        <v>0</v>
      </c>
      <c r="AC14" s="5">
        <v>0</v>
      </c>
      <c r="AD14" s="68"/>
      <c r="AF14" s="12" t="s">
        <v>26</v>
      </c>
      <c r="AG14" s="13"/>
      <c r="AH14" s="13"/>
      <c r="AI14" s="12" t="s">
        <v>26</v>
      </c>
      <c r="AL14" s="12"/>
      <c r="AM14" s="6">
        <v>917344.48</v>
      </c>
    </row>
    <row r="15" spans="1:39" x14ac:dyDescent="0.25">
      <c r="A15" s="29">
        <v>13</v>
      </c>
      <c r="B15" s="66">
        <v>7.7775754273248339</v>
      </c>
      <c r="C15" s="66">
        <v>7.7155715633826807</v>
      </c>
      <c r="D15" s="66">
        <v>7.7065176877794315</v>
      </c>
      <c r="E15" s="66">
        <v>7.7229954091751409</v>
      </c>
      <c r="F15" s="66">
        <v>7.6955953302496267</v>
      </c>
      <c r="G15" s="66">
        <v>7.7759728056837494</v>
      </c>
      <c r="H15" s="66">
        <v>7.741508952411241</v>
      </c>
      <c r="I15" s="67">
        <v>7.8444590563207868</v>
      </c>
      <c r="J15" s="67">
        <v>7.7624445725981666</v>
      </c>
      <c r="K15" s="67">
        <v>7.9173940990938814</v>
      </c>
      <c r="L15" s="67">
        <v>7.9449822716606144</v>
      </c>
      <c r="M15" s="67">
        <v>7.985492921557082</v>
      </c>
      <c r="N15" s="67">
        <v>7.984923098366469</v>
      </c>
      <c r="O15" s="67">
        <v>8.0066587685123984</v>
      </c>
      <c r="P15" s="67">
        <v>8.3519990344555577</v>
      </c>
      <c r="Q15" s="67">
        <v>8.3721992698092986</v>
      </c>
      <c r="R15" s="67">
        <v>8.0359867270174252</v>
      </c>
      <c r="S15" s="67">
        <v>8.1775800454915863</v>
      </c>
      <c r="T15" s="67">
        <v>8.3164040277504299</v>
      </c>
      <c r="U15" s="67">
        <v>8.4507718218007106</v>
      </c>
      <c r="V15" s="67">
        <v>8.0077142174937013</v>
      </c>
      <c r="W15" s="66">
        <v>8.330050813675248</v>
      </c>
      <c r="X15" s="66">
        <v>8.4184826540042668</v>
      </c>
      <c r="Y15" s="66">
        <v>8.3385472021277174</v>
      </c>
      <c r="Z15" s="2">
        <f t="shared" si="0"/>
        <v>192.38182777774207</v>
      </c>
      <c r="AA15" s="61">
        <v>13</v>
      </c>
      <c r="AB15" s="5">
        <v>0</v>
      </c>
      <c r="AC15" s="5">
        <v>0</v>
      </c>
      <c r="AD15" s="68"/>
      <c r="AF15" s="12"/>
      <c r="AG15" s="13"/>
      <c r="AH15" s="13"/>
      <c r="AI15" s="12"/>
      <c r="AL15" s="12"/>
    </row>
    <row r="16" spans="1:39" x14ac:dyDescent="0.25">
      <c r="A16" s="29">
        <v>14</v>
      </c>
      <c r="B16" s="66">
        <v>7.9680333236147849</v>
      </c>
      <c r="C16" s="66">
        <v>8.1809557157111428</v>
      </c>
      <c r="D16" s="66">
        <v>8.4218798989393022</v>
      </c>
      <c r="E16" s="66">
        <v>8.3822186986097158</v>
      </c>
      <c r="F16" s="66">
        <v>7.9658127672212569</v>
      </c>
      <c r="G16" s="66">
        <v>8.1300179702079944</v>
      </c>
      <c r="H16" s="66">
        <v>8.4051634650385108</v>
      </c>
      <c r="I16" s="67">
        <v>8.1579432302031094</v>
      </c>
      <c r="J16" s="67">
        <v>8.0837917113189341</v>
      </c>
      <c r="K16" s="67">
        <v>8.5499359153145384</v>
      </c>
      <c r="L16" s="67">
        <v>8.6614564711402675</v>
      </c>
      <c r="M16" s="67">
        <v>8.6607034504116172</v>
      </c>
      <c r="N16" s="67">
        <v>7.6402767994784746</v>
      </c>
      <c r="O16" s="67">
        <v>8.6686215956652948</v>
      </c>
      <c r="P16" s="67">
        <v>8.790848061710836</v>
      </c>
      <c r="Q16" s="67">
        <v>8.9503955795880135</v>
      </c>
      <c r="R16" s="67">
        <v>9.2152978342826124</v>
      </c>
      <c r="S16" s="67">
        <v>8.5775698989834694</v>
      </c>
      <c r="T16" s="67">
        <v>8.7798656789847129</v>
      </c>
      <c r="U16" s="67">
        <v>8.5794586948442237</v>
      </c>
      <c r="V16" s="67">
        <v>8.5198576285802243</v>
      </c>
      <c r="W16" s="66">
        <v>8.4995137986981657</v>
      </c>
      <c r="X16" s="66">
        <v>8.5837370584612049</v>
      </c>
      <c r="Y16" s="66">
        <v>8.4154910730508625</v>
      </c>
      <c r="Z16" s="2">
        <f t="shared" si="0"/>
        <v>202.78884632005926</v>
      </c>
      <c r="AA16" s="61">
        <v>14</v>
      </c>
      <c r="AB16" s="5">
        <v>0</v>
      </c>
      <c r="AC16" s="5">
        <v>0</v>
      </c>
      <c r="AD16" s="68"/>
      <c r="AF16" s="23">
        <f>AB34*AM14</f>
        <v>4586722.4000000004</v>
      </c>
      <c r="AG16" s="13"/>
      <c r="AH16" s="13"/>
      <c r="AI16" s="23">
        <f>AB34*AM14</f>
        <v>4586722.4000000004</v>
      </c>
      <c r="AL16" s="12"/>
    </row>
    <row r="17" spans="1:38" x14ac:dyDescent="0.25">
      <c r="A17" s="29">
        <v>15</v>
      </c>
      <c r="B17" s="66">
        <v>8.5158108328514572</v>
      </c>
      <c r="C17" s="66">
        <v>8.5397830378533914</v>
      </c>
      <c r="D17" s="66">
        <v>8.4912227142285452</v>
      </c>
      <c r="E17" s="66">
        <v>8.1892538674399411</v>
      </c>
      <c r="F17" s="66">
        <v>8.2539433009643535</v>
      </c>
      <c r="G17" s="66">
        <v>8.3552839302728064</v>
      </c>
      <c r="H17" s="66">
        <v>8.545493770045919</v>
      </c>
      <c r="I17" s="67">
        <v>8.5902626031793456</v>
      </c>
      <c r="J17" s="67">
        <v>8.6746100620821327</v>
      </c>
      <c r="K17" s="67">
        <v>8.5924066386940243</v>
      </c>
      <c r="L17" s="67">
        <v>9.2272308536701484</v>
      </c>
      <c r="M17" s="67">
        <v>9.350868719336539</v>
      </c>
      <c r="N17" s="67">
        <v>9.0627704807425467</v>
      </c>
      <c r="O17" s="67">
        <v>9.0927899290725716</v>
      </c>
      <c r="P17" s="67">
        <v>9.5628881456949362</v>
      </c>
      <c r="Q17" s="67">
        <v>9.3163978226002957</v>
      </c>
      <c r="R17" s="67">
        <v>9.0126875408299849</v>
      </c>
      <c r="S17" s="67">
        <v>8.8339056866360437</v>
      </c>
      <c r="T17" s="67">
        <v>8.6973604499975021</v>
      </c>
      <c r="U17" s="67">
        <v>8.4646949631377897</v>
      </c>
      <c r="V17" s="67">
        <v>8.4733491533127747</v>
      </c>
      <c r="W17" s="66">
        <v>8.4571002828902255</v>
      </c>
      <c r="X17" s="66">
        <v>8.3681694358261591</v>
      </c>
      <c r="Y17" s="66">
        <v>8.9300682036115742</v>
      </c>
      <c r="Z17" s="2">
        <f t="shared" si="0"/>
        <v>209.59835242497095</v>
      </c>
      <c r="AA17" s="61">
        <v>15</v>
      </c>
      <c r="AB17" s="5">
        <v>0</v>
      </c>
      <c r="AC17" s="5">
        <v>0</v>
      </c>
      <c r="AD17" s="68"/>
      <c r="AF17" s="12"/>
      <c r="AG17" s="13"/>
      <c r="AH17" s="13"/>
      <c r="AI17" s="12"/>
      <c r="AL17" s="12"/>
    </row>
    <row r="18" spans="1:38" x14ac:dyDescent="0.25">
      <c r="A18" s="29">
        <v>16</v>
      </c>
      <c r="B18" s="66">
        <v>8.7874632934505819</v>
      </c>
      <c r="C18" s="66">
        <v>8.4310565951867495</v>
      </c>
      <c r="D18" s="66">
        <v>8.4105265257090256</v>
      </c>
      <c r="E18" s="66">
        <v>8.5679856872833273</v>
      </c>
      <c r="F18" s="66">
        <v>8.4815788753315982</v>
      </c>
      <c r="G18" s="66">
        <v>8.7901602137977424</v>
      </c>
      <c r="H18" s="66">
        <v>8.9944539047187124</v>
      </c>
      <c r="I18" s="67">
        <v>8.7757148139798939</v>
      </c>
      <c r="J18" s="67">
        <v>8.78816048592115</v>
      </c>
      <c r="K18" s="67">
        <v>8.8105364319452057</v>
      </c>
      <c r="L18" s="67">
        <v>7.8668912082475737</v>
      </c>
      <c r="M18" s="67">
        <v>8.0874364544169435</v>
      </c>
      <c r="N18" s="67">
        <v>8.5737428185043427</v>
      </c>
      <c r="O18" s="67">
        <v>8.9587928761781619</v>
      </c>
      <c r="P18" s="67">
        <v>9.0153206151543905</v>
      </c>
      <c r="Q18" s="67">
        <v>9.3225612160423239</v>
      </c>
      <c r="R18" s="67">
        <v>9.6012890338872428</v>
      </c>
      <c r="S18" s="67">
        <v>8.9353455670537407</v>
      </c>
      <c r="T18" s="67">
        <v>8.9295094984932177</v>
      </c>
      <c r="U18" s="67">
        <v>9.0318682070384639</v>
      </c>
      <c r="V18" s="67">
        <v>9.0248599043372639</v>
      </c>
      <c r="W18" s="66">
        <v>8.663632349016579</v>
      </c>
      <c r="X18" s="66">
        <v>8.5226019268802204</v>
      </c>
      <c r="Y18" s="66">
        <v>8.6436795402661808</v>
      </c>
      <c r="Z18" s="2">
        <f t="shared" si="0"/>
        <v>210.01516804284063</v>
      </c>
      <c r="AA18" s="61">
        <v>16</v>
      </c>
      <c r="AB18" s="5">
        <v>0</v>
      </c>
      <c r="AC18" s="5">
        <v>0</v>
      </c>
      <c r="AD18" s="68"/>
      <c r="AF18" s="12" t="s">
        <v>28</v>
      </c>
      <c r="AG18" s="13"/>
      <c r="AH18" s="13"/>
      <c r="AI18" s="12" t="s">
        <v>28</v>
      </c>
      <c r="AL18" s="12"/>
    </row>
    <row r="19" spans="1:38" ht="13.8" thickBot="1" x14ac:dyDescent="0.3">
      <c r="A19" s="29">
        <v>17</v>
      </c>
      <c r="B19" s="66">
        <v>8.6694499107581322</v>
      </c>
      <c r="C19" s="66">
        <v>8.5864759891648319</v>
      </c>
      <c r="D19" s="66">
        <v>8.5727840780893789</v>
      </c>
      <c r="E19" s="66">
        <v>8.6325834027677484</v>
      </c>
      <c r="F19" s="66">
        <v>8.5050739037179302</v>
      </c>
      <c r="G19" s="66">
        <v>8.7103059052869884</v>
      </c>
      <c r="H19" s="66">
        <v>8.7634247088709269</v>
      </c>
      <c r="I19" s="67">
        <v>9.5647959100807398</v>
      </c>
      <c r="J19" s="67">
        <v>9.5234805959626705</v>
      </c>
      <c r="K19" s="67">
        <v>9.3730374373217753</v>
      </c>
      <c r="L19" s="67">
        <v>9.0979763733000585</v>
      </c>
      <c r="M19" s="67">
        <v>9.2388771795159315</v>
      </c>
      <c r="N19" s="67">
        <v>8.973564400861596</v>
      </c>
      <c r="O19" s="67">
        <v>9.4783171351667797</v>
      </c>
      <c r="P19" s="67">
        <v>9.9838639962271767</v>
      </c>
      <c r="Q19" s="67">
        <v>9.3996388720301152</v>
      </c>
      <c r="R19" s="67">
        <v>9.2596036426788384</v>
      </c>
      <c r="S19" s="67">
        <v>8.7746246456222892</v>
      </c>
      <c r="T19" s="67">
        <v>8.6793927241658633</v>
      </c>
      <c r="U19" s="67">
        <v>8.7916351805890862</v>
      </c>
      <c r="V19" s="67">
        <v>8.9545115740108194</v>
      </c>
      <c r="W19" s="66">
        <v>9.3265148815637833</v>
      </c>
      <c r="X19" s="66">
        <v>9.0021610608172153</v>
      </c>
      <c r="Y19" s="66">
        <v>8.8335240141946691</v>
      </c>
      <c r="Z19" s="2">
        <f t="shared" si="0"/>
        <v>216.6956175227653</v>
      </c>
      <c r="AA19" s="61">
        <v>17</v>
      </c>
      <c r="AB19" s="5">
        <v>0</v>
      </c>
      <c r="AC19" s="5">
        <v>0</v>
      </c>
      <c r="AD19" s="68"/>
      <c r="AF19" s="12"/>
      <c r="AG19" s="13"/>
      <c r="AH19" s="13"/>
      <c r="AI19" s="12"/>
      <c r="AL19" s="12"/>
    </row>
    <row r="20" spans="1:38" ht="13.8" thickBot="1" x14ac:dyDescent="0.3">
      <c r="A20" s="29">
        <v>18</v>
      </c>
      <c r="B20" s="66">
        <v>8.3153436614024354</v>
      </c>
      <c r="C20" s="66">
        <v>8.1544495398946868</v>
      </c>
      <c r="D20" s="66">
        <v>8.6035166343128164</v>
      </c>
      <c r="E20" s="66">
        <v>8.3089645111466641</v>
      </c>
      <c r="F20" s="66">
        <v>8.0843329537981958</v>
      </c>
      <c r="G20" s="66">
        <v>8.2950554498026055</v>
      </c>
      <c r="H20" s="66">
        <v>8.6327833257278925</v>
      </c>
      <c r="I20" s="67">
        <v>8.5341859896447243</v>
      </c>
      <c r="J20" s="67">
        <v>8.3546338152734005</v>
      </c>
      <c r="K20" s="67">
        <v>8.520301567877171</v>
      </c>
      <c r="L20" s="67">
        <v>8.8361987690224773</v>
      </c>
      <c r="M20" s="67">
        <v>8.9335392781486593</v>
      </c>
      <c r="N20" s="67">
        <v>9.0271607794705115</v>
      </c>
      <c r="O20" s="67">
        <v>9.708852053704474</v>
      </c>
      <c r="P20" s="67">
        <v>9.2638850137096576</v>
      </c>
      <c r="Q20" s="67">
        <v>9.0716435706086003</v>
      </c>
      <c r="R20" s="67">
        <v>8.953403909055984</v>
      </c>
      <c r="S20" s="67">
        <v>8.6885377683245864</v>
      </c>
      <c r="T20" s="67">
        <v>8.7910460616614081</v>
      </c>
      <c r="U20" s="67">
        <v>8.6913636997275301</v>
      </c>
      <c r="V20" s="67">
        <v>8.8506206408327053</v>
      </c>
      <c r="W20" s="66">
        <v>9.5224989015419439</v>
      </c>
      <c r="X20" s="66">
        <v>9.0133178377480032</v>
      </c>
      <c r="Y20" s="66">
        <v>8.8746606816812879</v>
      </c>
      <c r="Z20" s="2">
        <f t="shared" si="0"/>
        <v>210.0302964141184</v>
      </c>
      <c r="AA20" s="61">
        <v>18</v>
      </c>
      <c r="AB20" s="5">
        <v>0</v>
      </c>
      <c r="AC20" s="5">
        <v>0</v>
      </c>
      <c r="AD20" s="68"/>
      <c r="AF20" s="48">
        <f>AF7+AF11+AF16</f>
        <v>4589206.5500000007</v>
      </c>
      <c r="AG20" s="13"/>
      <c r="AH20" s="13"/>
      <c r="AI20" s="48">
        <f>AI7+AI11+AI16</f>
        <v>4589206.5500000007</v>
      </c>
      <c r="AL20" s="12"/>
    </row>
    <row r="21" spans="1:38" ht="13.8" thickBot="1" x14ac:dyDescent="0.3">
      <c r="A21" s="29">
        <v>19</v>
      </c>
      <c r="B21" s="66">
        <v>8.992501977761826</v>
      </c>
      <c r="C21" s="66">
        <v>9.0291529322182384</v>
      </c>
      <c r="D21" s="66">
        <v>8.762963562310448</v>
      </c>
      <c r="E21" s="66">
        <v>8.9094709512914374</v>
      </c>
      <c r="F21" s="66">
        <v>9.6459861034156447</v>
      </c>
      <c r="G21" s="66">
        <v>9.0477069811293447</v>
      </c>
      <c r="H21" s="66">
        <v>8.9147392394559599</v>
      </c>
      <c r="I21" s="67">
        <v>9.0444831059351909</v>
      </c>
      <c r="J21" s="67">
        <v>9.1589968990583799</v>
      </c>
      <c r="K21" s="67">
        <v>8.9497424501314562</v>
      </c>
      <c r="L21" s="67">
        <v>9.6382313084722657</v>
      </c>
      <c r="M21" s="67">
        <v>9.2666575067016943</v>
      </c>
      <c r="N21" s="67">
        <v>9.1431282709345076</v>
      </c>
      <c r="O21" s="67">
        <v>9.0593442023602027</v>
      </c>
      <c r="P21" s="67">
        <v>9.0713634309203979</v>
      </c>
      <c r="Q21" s="67">
        <v>9.0265440598192743</v>
      </c>
      <c r="R21" s="67">
        <v>9.9000207103135143</v>
      </c>
      <c r="S21" s="67">
        <v>9.3387225991118701</v>
      </c>
      <c r="T21" s="67">
        <v>9.1757404477472377</v>
      </c>
      <c r="U21" s="67">
        <v>9.2809342816035727</v>
      </c>
      <c r="V21" s="67">
        <v>9.049263245865653</v>
      </c>
      <c r="W21" s="66">
        <v>9.3431694044128886</v>
      </c>
      <c r="X21" s="66">
        <v>10.39510803350497</v>
      </c>
      <c r="Y21" s="66">
        <v>9.7046151814887054</v>
      </c>
      <c r="Z21" s="2">
        <f t="shared" si="0"/>
        <v>221.84858688596472</v>
      </c>
      <c r="AA21" s="61">
        <v>19</v>
      </c>
      <c r="AB21" s="5">
        <v>0</v>
      </c>
      <c r="AC21" s="5">
        <v>0</v>
      </c>
      <c r="AD21" s="68"/>
      <c r="AF21" s="14"/>
      <c r="AG21" s="15"/>
      <c r="AH21" s="15"/>
      <c r="AI21" s="13"/>
      <c r="AJ21" s="15"/>
      <c r="AK21" s="16"/>
    </row>
    <row r="22" spans="1:38" ht="13.8" thickBot="1" x14ac:dyDescent="0.3">
      <c r="A22" s="29">
        <v>20</v>
      </c>
      <c r="B22" s="66">
        <v>9.3780862140184933</v>
      </c>
      <c r="C22" s="66">
        <v>9.2490197121468505</v>
      </c>
      <c r="D22" s="66">
        <v>9.2716116747872306</v>
      </c>
      <c r="E22" s="66">
        <v>9.329364056594029</v>
      </c>
      <c r="F22" s="66">
        <v>8.8250401527195734</v>
      </c>
      <c r="G22" s="66">
        <v>8.7997965346746501</v>
      </c>
      <c r="H22" s="66">
        <v>8.9343535268540375</v>
      </c>
      <c r="I22" s="67">
        <v>9.1730087993023268</v>
      </c>
      <c r="J22" s="67">
        <v>9.363224886943561</v>
      </c>
      <c r="K22" s="67">
        <v>9.2701190871175676</v>
      </c>
      <c r="L22" s="67">
        <v>9.2928940535619908</v>
      </c>
      <c r="M22" s="67">
        <v>9.2838237316272973</v>
      </c>
      <c r="N22" s="67">
        <v>9.4272381854916052</v>
      </c>
      <c r="O22" s="67">
        <v>9.5148650851489247</v>
      </c>
      <c r="P22" s="67">
        <v>9.3660957638269799</v>
      </c>
      <c r="Q22" s="67">
        <v>9.566084990446285</v>
      </c>
      <c r="R22" s="67">
        <v>9.6488614436511284</v>
      </c>
      <c r="S22" s="67">
        <v>9.8933995904004899</v>
      </c>
      <c r="T22" s="67">
        <v>10.072186703355792</v>
      </c>
      <c r="U22" s="67">
        <v>9.9041421883061602</v>
      </c>
      <c r="V22" s="67">
        <v>9.9707389762009768</v>
      </c>
      <c r="W22" s="66">
        <v>10.013886550396762</v>
      </c>
      <c r="X22" s="66">
        <v>9.8934703199718257</v>
      </c>
      <c r="Y22" s="66">
        <v>9.6779723638040736</v>
      </c>
      <c r="Z22" s="2">
        <f t="shared" si="0"/>
        <v>227.11928459134862</v>
      </c>
      <c r="AA22" s="61">
        <v>20</v>
      </c>
      <c r="AB22" s="5">
        <v>0</v>
      </c>
      <c r="AC22" s="5">
        <v>0</v>
      </c>
      <c r="AD22" s="68"/>
      <c r="AF22" t="s">
        <v>32</v>
      </c>
      <c r="AG22" s="57">
        <f>AF20/Z34/1000</f>
        <v>0.65834784507300703</v>
      </c>
      <c r="AI22" s="58">
        <f>AF20/Z34/1000</f>
        <v>0.65834784507300703</v>
      </c>
      <c r="AK22" s="6">
        <f>AF38-AF20</f>
        <v>-4586722.4000000004</v>
      </c>
      <c r="AL22" t="s">
        <v>33</v>
      </c>
    </row>
    <row r="23" spans="1:38" x14ac:dyDescent="0.25">
      <c r="A23" s="29">
        <v>21</v>
      </c>
      <c r="B23" s="66">
        <v>9.5768926190037931</v>
      </c>
      <c r="C23" s="66">
        <v>9.5839423949137803</v>
      </c>
      <c r="D23" s="66">
        <v>9.5109780911284556</v>
      </c>
      <c r="E23" s="66">
        <v>9.701965900024625</v>
      </c>
      <c r="F23" s="66">
        <v>9.7771014835625873</v>
      </c>
      <c r="G23" s="66">
        <v>9.8282919898572256</v>
      </c>
      <c r="H23" s="66">
        <v>9.9758933530133902</v>
      </c>
      <c r="I23" s="67">
        <v>10.491030972980383</v>
      </c>
      <c r="J23" s="67">
        <v>10.495004106301399</v>
      </c>
      <c r="K23" s="67">
        <v>10.4856610122056</v>
      </c>
      <c r="L23" s="67">
        <v>10.429025635448356</v>
      </c>
      <c r="M23" s="67">
        <v>10.686642428407501</v>
      </c>
      <c r="N23" s="67">
        <v>10.47953297263345</v>
      </c>
      <c r="O23" s="67">
        <v>10.479803493855572</v>
      </c>
      <c r="P23" s="67">
        <v>10.467537958220936</v>
      </c>
      <c r="Q23" s="67">
        <v>10.495965115284198</v>
      </c>
      <c r="R23" s="67">
        <v>10.724168232803347</v>
      </c>
      <c r="S23" s="67">
        <v>10.031392043971074</v>
      </c>
      <c r="T23" s="67">
        <v>10.491868077538303</v>
      </c>
      <c r="U23" s="67">
        <v>10.403114295104542</v>
      </c>
      <c r="V23" s="67">
        <v>9.8801641793280712</v>
      </c>
      <c r="W23" s="66">
        <v>8.6702593017076737</v>
      </c>
      <c r="X23" s="66">
        <v>8.9541329662704552</v>
      </c>
      <c r="Y23" s="66">
        <v>9.5386397265011631</v>
      </c>
      <c r="Z23" s="2">
        <f t="shared" si="0"/>
        <v>241.15900835006587</v>
      </c>
      <c r="AA23" s="61">
        <v>21</v>
      </c>
      <c r="AB23" s="5">
        <v>0</v>
      </c>
      <c r="AC23" s="5">
        <v>0</v>
      </c>
      <c r="AD23" s="68"/>
    </row>
    <row r="24" spans="1:38" ht="13.8" thickBot="1" x14ac:dyDescent="0.3">
      <c r="A24" s="29">
        <v>22</v>
      </c>
      <c r="B24" s="66">
        <v>10.120411228681466</v>
      </c>
      <c r="C24" s="66">
        <v>10.986114438462455</v>
      </c>
      <c r="D24" s="66">
        <v>10.620159527279197</v>
      </c>
      <c r="E24" s="66">
        <v>10.468361373218126</v>
      </c>
      <c r="F24" s="66">
        <v>10.556874057522384</v>
      </c>
      <c r="G24" s="66">
        <v>10.36916789679085</v>
      </c>
      <c r="H24" s="66">
        <v>10.653397218054517</v>
      </c>
      <c r="I24" s="67">
        <v>11.453325404145778</v>
      </c>
      <c r="J24" s="67">
        <v>11.564623480064469</v>
      </c>
      <c r="K24" s="67">
        <v>11.342094650056792</v>
      </c>
      <c r="L24" s="67">
        <v>10.801131024160464</v>
      </c>
      <c r="M24" s="67">
        <v>11.120114887754745</v>
      </c>
      <c r="N24" s="67">
        <v>10.896644496968221</v>
      </c>
      <c r="O24" s="67">
        <v>11.248803334971631</v>
      </c>
      <c r="P24" s="67">
        <v>11.778977922312533</v>
      </c>
      <c r="Q24" s="67">
        <v>11.356382173934479</v>
      </c>
      <c r="R24" s="67">
        <v>10.855754775788483</v>
      </c>
      <c r="S24" s="67">
        <v>10.961592733867109</v>
      </c>
      <c r="T24" s="67">
        <v>10.703326895788821</v>
      </c>
      <c r="U24" s="67">
        <v>10.495327975685164</v>
      </c>
      <c r="V24" s="67">
        <v>10.938096103255607</v>
      </c>
      <c r="W24" s="66">
        <v>11.159884577163815</v>
      </c>
      <c r="X24" s="66">
        <v>11.052968961144668</v>
      </c>
      <c r="Y24" s="66">
        <v>10.671555785155476</v>
      </c>
      <c r="Z24" s="2">
        <f t="shared" si="0"/>
        <v>262.17509092222724</v>
      </c>
      <c r="AA24" s="61">
        <v>22</v>
      </c>
      <c r="AB24" s="5">
        <v>0</v>
      </c>
      <c r="AC24" s="5">
        <v>0</v>
      </c>
      <c r="AD24" s="68"/>
    </row>
    <row r="25" spans="1:38" ht="13.8" thickBot="1" x14ac:dyDescent="0.3">
      <c r="A25" s="29">
        <v>23</v>
      </c>
      <c r="B25" s="66">
        <v>10.391854872510754</v>
      </c>
      <c r="C25" s="66">
        <v>10.311392034239613</v>
      </c>
      <c r="D25" s="66">
        <v>10.878106259946543</v>
      </c>
      <c r="E25" s="66">
        <v>11.193027634156445</v>
      </c>
      <c r="F25" s="66">
        <v>10.803094897009816</v>
      </c>
      <c r="G25" s="66">
        <v>10.81719380383463</v>
      </c>
      <c r="H25" s="66">
        <v>10.759369674100176</v>
      </c>
      <c r="I25" s="67">
        <v>10.278340717752359</v>
      </c>
      <c r="J25" s="67">
        <v>10.912555290330754</v>
      </c>
      <c r="K25" s="67">
        <v>11.396780296744394</v>
      </c>
      <c r="L25" s="67">
        <v>11.009474528115007</v>
      </c>
      <c r="M25" s="67">
        <v>11.38448493708702</v>
      </c>
      <c r="N25" s="67">
        <v>11.500572317447601</v>
      </c>
      <c r="O25" s="67">
        <v>11.212594129804842</v>
      </c>
      <c r="P25" s="67">
        <v>10.858135138098502</v>
      </c>
      <c r="Q25" s="67">
        <v>11.767757077529133</v>
      </c>
      <c r="R25" s="67">
        <v>11.119226281766837</v>
      </c>
      <c r="S25" s="67">
        <v>10.586933423854351</v>
      </c>
      <c r="T25" s="67">
        <v>10.488398768829166</v>
      </c>
      <c r="U25" s="67">
        <v>10.567668997302308</v>
      </c>
      <c r="V25" s="67">
        <v>10.452012984186107</v>
      </c>
      <c r="W25" s="66">
        <v>10.439498022941599</v>
      </c>
      <c r="X25" s="66">
        <v>10.468059944263963</v>
      </c>
      <c r="Y25" s="66">
        <v>10.565940102357951</v>
      </c>
      <c r="Z25" s="2">
        <f t="shared" si="0"/>
        <v>260.16247213420985</v>
      </c>
      <c r="AA25" s="61">
        <v>23</v>
      </c>
      <c r="AB25" s="5">
        <v>0</v>
      </c>
      <c r="AC25" s="5">
        <v>0</v>
      </c>
      <c r="AD25" s="68"/>
      <c r="AF25" s="8" t="s">
        <v>36</v>
      </c>
      <c r="AG25" s="17" t="s">
        <v>30</v>
      </c>
      <c r="AH25" s="18"/>
      <c r="AI25" s="19"/>
    </row>
    <row r="26" spans="1:38" x14ac:dyDescent="0.25">
      <c r="A26" s="29">
        <v>24</v>
      </c>
      <c r="B26" s="66">
        <v>10.527229499018889</v>
      </c>
      <c r="C26" s="66">
        <v>10.504874269345704</v>
      </c>
      <c r="D26" s="66">
        <v>10.720774997676015</v>
      </c>
      <c r="E26" s="66">
        <v>10.76205633258096</v>
      </c>
      <c r="F26" s="66">
        <v>10.685497056676482</v>
      </c>
      <c r="G26" s="66">
        <v>10.971145790965856</v>
      </c>
      <c r="H26" s="66">
        <v>11.07757500848167</v>
      </c>
      <c r="I26" s="67">
        <v>11.26619619191249</v>
      </c>
      <c r="J26" s="67">
        <v>11.361858789937171</v>
      </c>
      <c r="K26" s="67">
        <v>11.457493673612495</v>
      </c>
      <c r="L26" s="67">
        <v>11.929746861652976</v>
      </c>
      <c r="M26" s="67">
        <v>12.145983237202941</v>
      </c>
      <c r="N26" s="67">
        <v>11.860134592331182</v>
      </c>
      <c r="O26" s="67">
        <v>11.686609298616457</v>
      </c>
      <c r="P26" s="67">
        <v>11.827717801376686</v>
      </c>
      <c r="Q26" s="67">
        <v>11.660877628535392</v>
      </c>
      <c r="R26" s="67">
        <v>11.87078360296884</v>
      </c>
      <c r="S26" s="67">
        <v>12.015192747769852</v>
      </c>
      <c r="T26" s="67">
        <v>11.456967092638305</v>
      </c>
      <c r="U26" s="67">
        <v>11.287330472827522</v>
      </c>
      <c r="V26" s="67">
        <v>11.304252156003557</v>
      </c>
      <c r="W26" s="66">
        <v>11.34652381718241</v>
      </c>
      <c r="X26" s="66">
        <v>11.341185531188893</v>
      </c>
      <c r="Y26" s="66">
        <v>11.701129043223686</v>
      </c>
      <c r="Z26" s="2">
        <f t="shared" si="0"/>
        <v>272.76913549372637</v>
      </c>
      <c r="AA26" s="61">
        <v>24</v>
      </c>
      <c r="AB26" s="5">
        <v>0</v>
      </c>
      <c r="AC26" s="5">
        <v>0</v>
      </c>
      <c r="AD26" s="68"/>
      <c r="AF26" s="39"/>
      <c r="AG26" s="25"/>
      <c r="AH26" s="25"/>
      <c r="AI26" s="25"/>
      <c r="AJ26" s="40"/>
      <c r="AK26" s="41"/>
    </row>
    <row r="27" spans="1:38" x14ac:dyDescent="0.25">
      <c r="A27" s="29">
        <v>25</v>
      </c>
      <c r="B27" s="66">
        <v>11.859374402735638</v>
      </c>
      <c r="C27" s="66">
        <v>11.617190658040967</v>
      </c>
      <c r="D27" s="66">
        <v>11.065420433787111</v>
      </c>
      <c r="E27" s="66">
        <v>10.905367961841158</v>
      </c>
      <c r="F27" s="66">
        <v>11.00756031791594</v>
      </c>
      <c r="G27" s="66">
        <v>11.726422859609727</v>
      </c>
      <c r="H27" s="66">
        <v>11.755484848937529</v>
      </c>
      <c r="I27" s="67">
        <v>11.49801928989689</v>
      </c>
      <c r="J27" s="67">
        <v>11.779247686287126</v>
      </c>
      <c r="K27" s="67">
        <v>11.925680024815636</v>
      </c>
      <c r="L27" s="67">
        <v>11.800829689425944</v>
      </c>
      <c r="M27" s="67">
        <v>11.545559239483186</v>
      </c>
      <c r="N27" s="67">
        <v>11.97677578829866</v>
      </c>
      <c r="O27" s="67">
        <v>12.138060698415698</v>
      </c>
      <c r="P27" s="67">
        <v>11.584324764085315</v>
      </c>
      <c r="Q27" s="67">
        <v>11.773079691993717</v>
      </c>
      <c r="R27" s="67">
        <v>11.865029360709265</v>
      </c>
      <c r="S27" s="67">
        <v>11.366044257846902</v>
      </c>
      <c r="T27" s="67">
        <v>11.841952721562416</v>
      </c>
      <c r="U27" s="67">
        <v>12.139643141945442</v>
      </c>
      <c r="V27" s="67">
        <v>11.924234619509654</v>
      </c>
      <c r="W27" s="66">
        <v>12.216262514561478</v>
      </c>
      <c r="X27" s="66">
        <v>11.823573018513565</v>
      </c>
      <c r="Y27" s="66">
        <v>11.886920906605569</v>
      </c>
      <c r="Z27" s="2">
        <f t="shared" si="0"/>
        <v>281.02205889682455</v>
      </c>
      <c r="AA27" s="61">
        <v>25</v>
      </c>
      <c r="AB27" s="5">
        <v>0</v>
      </c>
      <c r="AC27" s="5">
        <v>0</v>
      </c>
      <c r="AD27" s="68"/>
      <c r="AF27" s="42" t="s">
        <v>31</v>
      </c>
      <c r="AG27" s="25"/>
      <c r="AH27" s="25"/>
      <c r="AI27" s="25"/>
      <c r="AJ27" s="25"/>
      <c r="AK27" s="43"/>
    </row>
    <row r="28" spans="1:38" x14ac:dyDescent="0.25">
      <c r="A28" s="29">
        <v>26</v>
      </c>
      <c r="B28" s="66">
        <v>12.203114370404426</v>
      </c>
      <c r="C28" s="66">
        <v>12.819168016409618</v>
      </c>
      <c r="D28" s="66">
        <v>12.398218612630735</v>
      </c>
      <c r="E28" s="66">
        <v>11.863277585406035</v>
      </c>
      <c r="F28" s="66">
        <v>12.060925969039475</v>
      </c>
      <c r="G28" s="66">
        <v>11.973817117314171</v>
      </c>
      <c r="H28" s="66">
        <v>11.817528019518297</v>
      </c>
      <c r="I28" s="67">
        <v>11.498816553565659</v>
      </c>
      <c r="J28" s="67">
        <v>12.531723459059172</v>
      </c>
      <c r="K28" s="67">
        <v>12.409353843803551</v>
      </c>
      <c r="L28" s="67">
        <v>11.786794946071888</v>
      </c>
      <c r="M28" s="67">
        <v>11.375931370559272</v>
      </c>
      <c r="N28" s="67">
        <v>11.617040530753311</v>
      </c>
      <c r="O28" s="67">
        <v>12.059153471597091</v>
      </c>
      <c r="P28" s="67">
        <v>12.121139411240966</v>
      </c>
      <c r="Q28" s="67">
        <v>11.46661165953217</v>
      </c>
      <c r="R28" s="67">
        <v>11.746652854423228</v>
      </c>
      <c r="S28" s="67">
        <v>11.827401169742657</v>
      </c>
      <c r="T28" s="67">
        <v>11.933971777955261</v>
      </c>
      <c r="U28" s="67">
        <v>11.900089261027588</v>
      </c>
      <c r="V28" s="67">
        <v>11.912646237026397</v>
      </c>
      <c r="W28" s="66">
        <v>11.662425973107624</v>
      </c>
      <c r="X28" s="66">
        <v>11.768124376315402</v>
      </c>
      <c r="Y28" s="66">
        <v>10.576121673126574</v>
      </c>
      <c r="Z28" s="2">
        <f t="shared" si="0"/>
        <v>285.33004825963059</v>
      </c>
      <c r="AA28" s="61">
        <v>26</v>
      </c>
      <c r="AB28" s="5">
        <v>0</v>
      </c>
      <c r="AC28" s="5">
        <v>0</v>
      </c>
      <c r="AD28" s="68"/>
      <c r="AF28" s="42"/>
      <c r="AG28" s="25"/>
      <c r="AH28" s="25"/>
      <c r="AI28" s="25"/>
      <c r="AJ28" s="25"/>
      <c r="AK28" s="44"/>
    </row>
    <row r="29" spans="1:38" x14ac:dyDescent="0.25">
      <c r="A29" s="29">
        <v>27</v>
      </c>
      <c r="B29" s="66">
        <v>10.455907337352693</v>
      </c>
      <c r="C29" s="66">
        <v>11.42705237763828</v>
      </c>
      <c r="D29" s="66">
        <v>11.720670495961851</v>
      </c>
      <c r="E29" s="66">
        <v>11.764211122749979</v>
      </c>
      <c r="F29" s="66">
        <v>12.054680214518132</v>
      </c>
      <c r="G29" s="66">
        <v>12.015386478259861</v>
      </c>
      <c r="H29" s="66">
        <v>12.027620529190324</v>
      </c>
      <c r="I29" s="67">
        <v>12.009078149063216</v>
      </c>
      <c r="J29" s="67">
        <v>12.11833246541573</v>
      </c>
      <c r="K29" s="67">
        <v>12.061081863616291</v>
      </c>
      <c r="L29" s="67">
        <v>12.254254973970708</v>
      </c>
      <c r="M29" s="67">
        <v>12.294283191126567</v>
      </c>
      <c r="N29" s="67">
        <v>12.334344291485268</v>
      </c>
      <c r="O29" s="67">
        <v>12.343382581693046</v>
      </c>
      <c r="P29" s="67">
        <v>12.474954239941351</v>
      </c>
      <c r="Q29" s="67">
        <v>12.352118010004732</v>
      </c>
      <c r="R29" s="67">
        <v>12.264315415615426</v>
      </c>
      <c r="S29" s="67">
        <v>12.195619952274562</v>
      </c>
      <c r="T29" s="67">
        <v>12.436000130254156</v>
      </c>
      <c r="U29" s="67">
        <v>12.291311437251105</v>
      </c>
      <c r="V29" s="67">
        <v>12.445027508350673</v>
      </c>
      <c r="W29" s="66">
        <v>12.405728725866032</v>
      </c>
      <c r="X29" s="66">
        <v>12.349132295822423</v>
      </c>
      <c r="Y29" s="66">
        <v>12.367508633670036</v>
      </c>
      <c r="Z29" s="2">
        <f t="shared" si="0"/>
        <v>290.46200242109245</v>
      </c>
      <c r="AA29" s="61">
        <v>27</v>
      </c>
      <c r="AB29" s="5">
        <v>0</v>
      </c>
      <c r="AC29" s="5">
        <v>0</v>
      </c>
      <c r="AD29" s="68"/>
      <c r="AF29" s="45">
        <v>0</v>
      </c>
      <c r="AG29" s="46"/>
      <c r="AH29" s="47"/>
      <c r="AI29" s="45">
        <v>0</v>
      </c>
      <c r="AJ29" s="25"/>
      <c r="AK29" s="44"/>
    </row>
    <row r="30" spans="1:38" x14ac:dyDescent="0.25">
      <c r="A30" s="29">
        <v>28</v>
      </c>
      <c r="B30" s="66">
        <v>12.357661782512306</v>
      </c>
      <c r="C30" s="66">
        <v>12.350414622140905</v>
      </c>
      <c r="D30" s="66">
        <v>12.284919341564365</v>
      </c>
      <c r="E30" s="66">
        <v>12.350363683210029</v>
      </c>
      <c r="F30" s="66">
        <v>12.37714993760313</v>
      </c>
      <c r="G30" s="66">
        <v>11.606518985037681</v>
      </c>
      <c r="H30" s="66">
        <v>11.474453589908183</v>
      </c>
      <c r="I30" s="67">
        <v>11.576189854309723</v>
      </c>
      <c r="J30" s="67">
        <v>11.745994473373111</v>
      </c>
      <c r="K30" s="67">
        <v>11.716393620705883</v>
      </c>
      <c r="L30" s="67">
        <v>11.619513839922426</v>
      </c>
      <c r="M30" s="67">
        <v>12.170442511843302</v>
      </c>
      <c r="N30" s="67">
        <v>12.802873375415468</v>
      </c>
      <c r="O30" s="67">
        <v>12.118646904759238</v>
      </c>
      <c r="P30" s="67">
        <v>12.102673899746426</v>
      </c>
      <c r="Q30" s="67">
        <v>11.968486442790761</v>
      </c>
      <c r="R30" s="67">
        <v>12.158452552361561</v>
      </c>
      <c r="S30" s="67">
        <v>11.391164571582546</v>
      </c>
      <c r="T30" s="67">
        <v>11.497012280730059</v>
      </c>
      <c r="U30" s="67">
        <v>11.754108519208994</v>
      </c>
      <c r="V30" s="67">
        <v>11.253286026476337</v>
      </c>
      <c r="W30" s="66">
        <v>11.237376664414132</v>
      </c>
      <c r="X30" s="66">
        <v>11.135690534439583</v>
      </c>
      <c r="Y30" s="66">
        <v>11.195784247969796</v>
      </c>
      <c r="Z30" s="2">
        <f t="shared" si="0"/>
        <v>284.24557226202586</v>
      </c>
      <c r="AA30" s="61">
        <v>28</v>
      </c>
      <c r="AB30" s="5">
        <v>0</v>
      </c>
      <c r="AC30" s="5">
        <v>0</v>
      </c>
      <c r="AD30" s="68"/>
      <c r="AF30" s="42"/>
      <c r="AG30" s="25"/>
      <c r="AH30" s="25"/>
      <c r="AI30" s="42"/>
      <c r="AJ30" s="25"/>
      <c r="AK30" s="43"/>
    </row>
    <row r="31" spans="1:38" x14ac:dyDescent="0.25">
      <c r="A31" s="29">
        <v>29</v>
      </c>
      <c r="B31" s="66">
        <v>10.622878893279175</v>
      </c>
      <c r="C31" s="66">
        <v>10.89610543106982</v>
      </c>
      <c r="D31" s="66">
        <v>11.667329009702931</v>
      </c>
      <c r="E31" s="66">
        <v>11.433092533805212</v>
      </c>
      <c r="F31" s="66">
        <v>11.25942427430132</v>
      </c>
      <c r="G31" s="66">
        <v>11.076916874599283</v>
      </c>
      <c r="H31" s="66">
        <v>11.189150373977817</v>
      </c>
      <c r="I31" s="67">
        <v>11.915247470323726</v>
      </c>
      <c r="J31" s="67">
        <v>12.347164686560577</v>
      </c>
      <c r="K31" s="67">
        <v>12.031394839404234</v>
      </c>
      <c r="L31" s="67">
        <v>12.025874948649445</v>
      </c>
      <c r="M31" s="67">
        <v>12.174984916118843</v>
      </c>
      <c r="N31" s="67">
        <v>12.165413286397136</v>
      </c>
      <c r="O31" s="67">
        <v>12.162509417727833</v>
      </c>
      <c r="P31" s="67">
        <v>12.414934500779077</v>
      </c>
      <c r="Q31" s="67">
        <v>12.679122445988032</v>
      </c>
      <c r="R31" s="67">
        <v>11.975418262728743</v>
      </c>
      <c r="S31" s="67">
        <v>11.833388157953344</v>
      </c>
      <c r="T31" s="67">
        <v>11.730291283317939</v>
      </c>
      <c r="U31" s="67">
        <v>11.882278237146044</v>
      </c>
      <c r="V31" s="67">
        <v>12.533711637029246</v>
      </c>
      <c r="W31" s="66">
        <v>12.278526440933289</v>
      </c>
      <c r="X31" s="66">
        <v>11.294836608241617</v>
      </c>
      <c r="Y31" s="66">
        <v>11.718367256491511</v>
      </c>
      <c r="Z31" s="2">
        <f t="shared" si="0"/>
        <v>283.30836178652612</v>
      </c>
      <c r="AA31" s="61">
        <v>29</v>
      </c>
      <c r="AB31" s="5">
        <v>0</v>
      </c>
      <c r="AC31" s="5">
        <v>0</v>
      </c>
      <c r="AD31" s="68"/>
      <c r="AF31" s="12"/>
      <c r="AG31" s="25"/>
      <c r="AH31" s="25"/>
      <c r="AI31" s="12"/>
      <c r="AJ31" s="25"/>
      <c r="AK31" s="43"/>
    </row>
    <row r="32" spans="1:38" x14ac:dyDescent="0.25">
      <c r="A32" s="29">
        <v>30</v>
      </c>
      <c r="B32" s="66">
        <v>11.640240740285833</v>
      </c>
      <c r="C32" s="66">
        <v>11.579134720830508</v>
      </c>
      <c r="D32" s="66">
        <v>11.785610231536365</v>
      </c>
      <c r="E32" s="66">
        <v>11.941345583224189</v>
      </c>
      <c r="F32" s="66">
        <v>11.82289347901367</v>
      </c>
      <c r="G32" s="66">
        <v>11.185136599931171</v>
      </c>
      <c r="H32" s="66">
        <v>11.159736929742001</v>
      </c>
      <c r="I32" s="67">
        <v>11.419559354932712</v>
      </c>
      <c r="J32" s="67">
        <v>12.429492201559539</v>
      </c>
      <c r="K32" s="67">
        <v>12.343389545023042</v>
      </c>
      <c r="L32" s="67">
        <v>12.246396458362582</v>
      </c>
      <c r="M32" s="67">
        <v>12.32056230005286</v>
      </c>
      <c r="N32" s="67">
        <v>12.336656397391621</v>
      </c>
      <c r="O32" s="67">
        <v>12.262196891168053</v>
      </c>
      <c r="P32" s="67">
        <v>12.411202346309063</v>
      </c>
      <c r="Q32" s="67">
        <v>13.385928037485089</v>
      </c>
      <c r="R32" s="67">
        <v>12.542919866225615</v>
      </c>
      <c r="S32" s="67">
        <v>12.579818564446647</v>
      </c>
      <c r="T32" s="67">
        <v>12.991105203781823</v>
      </c>
      <c r="U32" s="67">
        <v>13.04924331016807</v>
      </c>
      <c r="V32" s="67">
        <v>12.887153831558219</v>
      </c>
      <c r="W32" s="66">
        <v>13.452411543087136</v>
      </c>
      <c r="X32" s="66">
        <v>12.979849976097565</v>
      </c>
      <c r="Y32" s="66">
        <v>12.437343874011624</v>
      </c>
      <c r="Z32" s="2">
        <f t="shared" si="0"/>
        <v>295.18932798622495</v>
      </c>
      <c r="AA32" s="61">
        <v>30</v>
      </c>
      <c r="AB32" s="5">
        <v>0</v>
      </c>
      <c r="AC32" s="5">
        <v>0</v>
      </c>
      <c r="AD32" s="68"/>
      <c r="AF32" s="12" t="s">
        <v>27</v>
      </c>
      <c r="AG32" s="25"/>
      <c r="AH32" s="25"/>
      <c r="AI32" s="12" t="s">
        <v>27</v>
      </c>
      <c r="AJ32" s="25"/>
      <c r="AK32" s="43"/>
    </row>
    <row r="33" spans="1:37" x14ac:dyDescent="0.25">
      <c r="A33" s="28">
        <v>31</v>
      </c>
      <c r="B33" s="66">
        <v>13.060512629290384</v>
      </c>
      <c r="C33" s="66">
        <v>13.45383666232488</v>
      </c>
      <c r="D33" s="66">
        <v>11.901303823223374</v>
      </c>
      <c r="E33" s="66">
        <v>12.60775921518179</v>
      </c>
      <c r="F33" s="66">
        <v>13.48080228069772</v>
      </c>
      <c r="G33" s="66">
        <v>13.213894729325387</v>
      </c>
      <c r="H33" s="66">
        <v>12.647425844086619</v>
      </c>
      <c r="I33" s="67">
        <v>13.482303060361589</v>
      </c>
      <c r="J33" s="67">
        <v>13.567843676122276</v>
      </c>
      <c r="K33" s="67">
        <v>13.511174474520805</v>
      </c>
      <c r="L33" s="67">
        <v>13.696823362201174</v>
      </c>
      <c r="M33" s="67">
        <v>13.631189215094125</v>
      </c>
      <c r="N33" s="67">
        <v>13.415927772784023</v>
      </c>
      <c r="O33" s="67">
        <v>13.680047269928965</v>
      </c>
      <c r="P33" s="67">
        <v>13.966374670024528</v>
      </c>
      <c r="Q33" s="67">
        <v>12.72283105311339</v>
      </c>
      <c r="R33" s="67">
        <v>13.395097863901437</v>
      </c>
      <c r="S33" s="67">
        <v>13.208271412247869</v>
      </c>
      <c r="T33" s="67">
        <v>12.37073253300237</v>
      </c>
      <c r="U33" s="67">
        <v>12.992279886068589</v>
      </c>
      <c r="V33" s="67">
        <v>13.126072946892815</v>
      </c>
      <c r="W33" s="66">
        <v>12.682419205500356</v>
      </c>
      <c r="X33" s="66">
        <v>11.595360463704623</v>
      </c>
      <c r="Y33" s="66">
        <v>11.48012910110101</v>
      </c>
      <c r="Z33" s="2">
        <f t="shared" si="0"/>
        <v>312.89041315070011</v>
      </c>
      <c r="AA33" s="61">
        <v>31</v>
      </c>
      <c r="AB33" s="5">
        <v>0</v>
      </c>
      <c r="AC33" s="5">
        <v>0</v>
      </c>
      <c r="AD33" s="68"/>
      <c r="AF33" s="42"/>
      <c r="AG33" s="25"/>
      <c r="AH33" s="25"/>
      <c r="AI33" s="42"/>
      <c r="AJ33" s="25"/>
      <c r="AK33" s="43"/>
    </row>
    <row r="34" spans="1:37" x14ac:dyDescent="0.25">
      <c r="Z34" s="3">
        <f>SUM(Z3:Z33)</f>
        <v>6970.7929999999978</v>
      </c>
      <c r="AB34" s="27">
        <v>5</v>
      </c>
      <c r="AC34" s="27">
        <v>5</v>
      </c>
      <c r="AD34" s="27"/>
      <c r="AF34" s="45">
        <f>AC34*(AM11+AM8)</f>
        <v>2484.15</v>
      </c>
      <c r="AG34" s="25"/>
      <c r="AH34" s="25"/>
      <c r="AI34" s="45">
        <f>AC34*(AM11+AM8)</f>
        <v>2484.15</v>
      </c>
      <c r="AJ34" s="25"/>
      <c r="AK34" s="53"/>
    </row>
    <row r="35" spans="1:37" x14ac:dyDescent="0.25"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t="s">
        <v>34</v>
      </c>
      <c r="AC35" s="6"/>
      <c r="AD35" s="6"/>
      <c r="AF35" s="42"/>
      <c r="AG35" s="25"/>
      <c r="AH35" s="25"/>
      <c r="AI35" s="42"/>
      <c r="AJ35" s="25"/>
      <c r="AK35" s="64"/>
    </row>
    <row r="36" spans="1:37" ht="14.4" x14ac:dyDescent="0.25">
      <c r="B36" s="30"/>
      <c r="C36" s="30"/>
      <c r="D36" s="31"/>
      <c r="E36" s="32"/>
      <c r="F36" s="33"/>
      <c r="G36" s="30"/>
      <c r="H36" s="30"/>
      <c r="AB36" s="26"/>
      <c r="AC36" s="26"/>
      <c r="AD36" s="26"/>
      <c r="AF36" s="42" t="s">
        <v>28</v>
      </c>
      <c r="AG36" s="25"/>
      <c r="AH36" s="47"/>
      <c r="AI36" s="42" t="s">
        <v>28</v>
      </c>
      <c r="AJ36" s="25"/>
      <c r="AK36" s="65"/>
    </row>
    <row r="37" spans="1:37" ht="15" thickBot="1" x14ac:dyDescent="0.3">
      <c r="B37" s="30"/>
      <c r="C37" s="30"/>
      <c r="D37" s="31"/>
      <c r="E37" s="32"/>
      <c r="F37" s="33"/>
      <c r="G37" s="30"/>
      <c r="H37" s="30"/>
      <c r="AC37" s="7"/>
      <c r="AD37" s="7"/>
      <c r="AF37" s="42"/>
      <c r="AG37" s="25"/>
      <c r="AH37" s="25"/>
      <c r="AI37" s="42"/>
      <c r="AJ37" s="25"/>
      <c r="AK37" s="64"/>
    </row>
    <row r="38" spans="1:37" ht="13.8" thickBot="1" x14ac:dyDescent="0.3">
      <c r="B38" s="30"/>
      <c r="C38" s="30"/>
      <c r="D38" s="30"/>
      <c r="E38" s="34"/>
      <c r="F38" s="33"/>
      <c r="G38" s="30"/>
      <c r="H38" s="30"/>
      <c r="AC38" s="7"/>
      <c r="AD38" s="7"/>
      <c r="AF38" s="56">
        <f>AF29+AF34</f>
        <v>2484.15</v>
      </c>
      <c r="AG38" s="25"/>
      <c r="AH38" s="47"/>
      <c r="AI38" s="56">
        <f>AI29+AI34</f>
        <v>2484.15</v>
      </c>
      <c r="AJ38" s="54"/>
      <c r="AK38" s="65"/>
    </row>
    <row r="39" spans="1:37" x14ac:dyDescent="0.25">
      <c r="B39" s="30"/>
      <c r="C39" s="30"/>
      <c r="D39" s="30"/>
      <c r="E39" s="30"/>
      <c r="F39" s="30"/>
      <c r="G39" s="30"/>
      <c r="H39" s="30"/>
      <c r="AF39" s="49"/>
      <c r="AG39" s="25"/>
      <c r="AH39" s="25"/>
      <c r="AI39" s="25"/>
      <c r="AJ39" s="25"/>
      <c r="AK39" s="43"/>
    </row>
    <row r="40" spans="1:37" ht="13.5" customHeight="1" thickBot="1" x14ac:dyDescent="0.3">
      <c r="B40" s="35"/>
      <c r="C40" s="36"/>
      <c r="D40" s="35"/>
      <c r="E40" s="30"/>
      <c r="F40" s="30"/>
      <c r="G40" s="30"/>
      <c r="H40" s="30"/>
      <c r="AF40" s="50" t="s">
        <v>32</v>
      </c>
      <c r="AG40" s="51">
        <f>AF38/Z34/1000</f>
        <v>3.5636548094312954E-4</v>
      </c>
      <c r="AH40" s="51"/>
      <c r="AI40" s="55"/>
      <c r="AJ40" s="51"/>
      <c r="AK40" s="52"/>
    </row>
    <row r="41" spans="1:37" ht="13.5" customHeight="1" thickBot="1" x14ac:dyDescent="0.3">
      <c r="B41" s="35"/>
      <c r="C41" s="36"/>
      <c r="D41" s="35"/>
      <c r="E41" s="30"/>
      <c r="F41" s="30"/>
      <c r="G41" s="30"/>
      <c r="H41" s="30"/>
      <c r="AF41" s="25"/>
      <c r="AG41" s="25"/>
      <c r="AH41" s="25"/>
      <c r="AI41" s="58">
        <f>AI38/Z34/1000</f>
        <v>3.5636548094312954E-4</v>
      </c>
      <c r="AJ41" s="25"/>
      <c r="AK41" s="25"/>
    </row>
    <row r="42" spans="1:37" ht="13.5" customHeight="1" x14ac:dyDescent="0.25">
      <c r="B42" s="35"/>
      <c r="C42" s="36"/>
      <c r="D42" s="35"/>
      <c r="E42" s="30"/>
      <c r="F42" s="30"/>
      <c r="G42" s="30"/>
      <c r="H42" s="30"/>
      <c r="AF42" s="25"/>
      <c r="AG42" s="25"/>
      <c r="AH42" s="25"/>
      <c r="AI42" s="63"/>
      <c r="AJ42" s="25"/>
      <c r="AK42" s="25"/>
    </row>
    <row r="43" spans="1:37" x14ac:dyDescent="0.25">
      <c r="B43" s="30"/>
      <c r="C43" s="36"/>
      <c r="D43" s="35"/>
      <c r="E43" s="30"/>
      <c r="F43" s="30"/>
      <c r="G43" s="30"/>
      <c r="H43" s="30"/>
      <c r="AC43" s="7"/>
      <c r="AD43" s="7"/>
    </row>
    <row r="44" spans="1:37" x14ac:dyDescent="0.25">
      <c r="B44" s="30"/>
      <c r="C44" s="36"/>
      <c r="D44" s="35"/>
      <c r="E44" s="30"/>
      <c r="F44" s="30"/>
      <c r="G44" s="30"/>
      <c r="H44" s="30"/>
    </row>
    <row r="45" spans="1:37" x14ac:dyDescent="0.25">
      <c r="B45" s="30"/>
      <c r="C45" s="36"/>
      <c r="D45" s="35"/>
      <c r="E45" s="30"/>
      <c r="F45" s="30"/>
      <c r="G45" s="30"/>
      <c r="H45" s="30"/>
    </row>
    <row r="46" spans="1:37" x14ac:dyDescent="0.25">
      <c r="B46" s="30"/>
      <c r="C46" s="36"/>
      <c r="D46" s="35"/>
      <c r="E46" s="30"/>
      <c r="F46" s="30"/>
      <c r="G46" s="30"/>
      <c r="H46" s="30"/>
    </row>
    <row r="47" spans="1:37" ht="16.5" customHeight="1" x14ac:dyDescent="0.25">
      <c r="B47" s="30"/>
      <c r="C47" s="36"/>
      <c r="D47" s="35"/>
      <c r="E47" s="30"/>
      <c r="F47" s="30"/>
      <c r="G47" s="30"/>
      <c r="H47" s="30"/>
    </row>
    <row r="48" spans="1:37" ht="14.25" customHeight="1" x14ac:dyDescent="0.25">
      <c r="B48" s="30"/>
      <c r="C48" s="36"/>
      <c r="D48" s="35"/>
      <c r="E48" s="30"/>
      <c r="F48" s="30"/>
      <c r="G48" s="30"/>
      <c r="H48" s="30"/>
    </row>
    <row r="49" spans="2:8" ht="18.75" customHeight="1" x14ac:dyDescent="0.25">
      <c r="B49" s="30"/>
      <c r="C49" s="36"/>
      <c r="D49" s="35"/>
      <c r="E49" s="30"/>
      <c r="F49" s="30"/>
      <c r="G49" s="30"/>
      <c r="H49" s="30"/>
    </row>
    <row r="50" spans="2:8" x14ac:dyDescent="0.25">
      <c r="B50" s="30"/>
      <c r="C50" s="36"/>
      <c r="D50" s="35"/>
      <c r="E50" s="30"/>
      <c r="F50" s="30"/>
      <c r="G50" s="30"/>
      <c r="H50" s="30"/>
    </row>
    <row r="51" spans="2:8" x14ac:dyDescent="0.25">
      <c r="B51" s="30"/>
      <c r="C51" s="36"/>
      <c r="D51" s="35"/>
      <c r="E51" s="30"/>
      <c r="F51" s="30"/>
      <c r="G51" s="30"/>
      <c r="H51" s="30"/>
    </row>
    <row r="52" spans="2:8" ht="18" customHeight="1" x14ac:dyDescent="0.25">
      <c r="B52" s="30"/>
      <c r="C52" s="36"/>
      <c r="D52" s="35"/>
      <c r="E52" s="30"/>
      <c r="F52" s="30"/>
      <c r="G52" s="30"/>
      <c r="H52" s="30"/>
    </row>
    <row r="53" spans="2:8" ht="15" customHeight="1" x14ac:dyDescent="0.25">
      <c r="B53" s="30"/>
      <c r="C53" s="36"/>
      <c r="D53" s="35"/>
      <c r="E53" s="30"/>
      <c r="F53" s="30"/>
      <c r="G53" s="30"/>
      <c r="H53" s="30"/>
    </row>
    <row r="54" spans="2:8" ht="12.75" customHeight="1" x14ac:dyDescent="0.25">
      <c r="B54" s="30"/>
      <c r="C54" s="36"/>
      <c r="D54" s="35"/>
      <c r="E54" s="30"/>
      <c r="F54" s="30"/>
      <c r="G54" s="30"/>
      <c r="H54" s="30"/>
    </row>
    <row r="55" spans="2:8" ht="15" customHeight="1" x14ac:dyDescent="0.25">
      <c r="B55" s="30"/>
      <c r="C55" s="36"/>
      <c r="D55" s="35"/>
      <c r="E55" s="30"/>
      <c r="F55" s="30"/>
      <c r="G55" s="30"/>
      <c r="H55" s="30"/>
    </row>
    <row r="56" spans="2:8" ht="12.75" customHeight="1" x14ac:dyDescent="0.25">
      <c r="B56" s="30"/>
      <c r="C56" s="36"/>
      <c r="D56" s="35"/>
      <c r="E56" s="30"/>
      <c r="F56" s="30"/>
      <c r="G56" s="30"/>
      <c r="H56" s="30"/>
    </row>
    <row r="57" spans="2:8" x14ac:dyDescent="0.25">
      <c r="B57" s="30"/>
      <c r="C57" s="36"/>
      <c r="D57" s="35"/>
      <c r="E57" s="30"/>
      <c r="F57" s="30"/>
      <c r="G57" s="30"/>
      <c r="H57" s="30"/>
    </row>
    <row r="58" spans="2:8" x14ac:dyDescent="0.25">
      <c r="B58" s="30"/>
      <c r="C58" s="36"/>
      <c r="D58" s="35"/>
      <c r="E58" s="30"/>
      <c r="F58" s="30"/>
      <c r="G58" s="30"/>
      <c r="H58" s="30"/>
    </row>
    <row r="59" spans="2:8" x14ac:dyDescent="0.25">
      <c r="B59" s="30"/>
      <c r="C59" s="36"/>
      <c r="D59" s="35"/>
      <c r="E59" s="30"/>
      <c r="F59" s="30"/>
      <c r="G59" s="30"/>
      <c r="H59" s="30"/>
    </row>
    <row r="60" spans="2:8" x14ac:dyDescent="0.25">
      <c r="B60" s="30"/>
      <c r="C60" s="36"/>
      <c r="D60" s="35"/>
      <c r="E60" s="30"/>
      <c r="F60" s="30"/>
      <c r="G60" s="30"/>
      <c r="H60" s="30"/>
    </row>
    <row r="61" spans="2:8" x14ac:dyDescent="0.25">
      <c r="B61" s="30"/>
      <c r="C61" s="36"/>
      <c r="D61" s="35"/>
      <c r="E61" s="30"/>
      <c r="F61" s="30"/>
      <c r="G61" s="30"/>
      <c r="H61" s="30"/>
    </row>
    <row r="62" spans="2:8" x14ac:dyDescent="0.25">
      <c r="B62" s="30"/>
      <c r="C62" s="36"/>
      <c r="D62" s="35"/>
      <c r="E62" s="30"/>
      <c r="F62" s="30"/>
      <c r="G62" s="30"/>
      <c r="H62" s="30"/>
    </row>
    <row r="63" spans="2:8" x14ac:dyDescent="0.25">
      <c r="B63" s="30"/>
      <c r="C63" s="36"/>
      <c r="D63" s="35"/>
      <c r="E63" s="30"/>
      <c r="F63" s="30"/>
      <c r="G63" s="30"/>
      <c r="H63" s="30"/>
    </row>
    <row r="64" spans="2:8" x14ac:dyDescent="0.25">
      <c r="B64" s="30"/>
      <c r="C64" s="36"/>
      <c r="D64" s="35"/>
      <c r="E64" s="30"/>
      <c r="F64" s="30"/>
      <c r="G64" s="30"/>
      <c r="H64" s="30"/>
    </row>
    <row r="65" spans="2:8" x14ac:dyDescent="0.25">
      <c r="B65" s="30"/>
      <c r="C65" s="36"/>
      <c r="D65" s="35"/>
      <c r="E65" s="30"/>
      <c r="F65" s="30"/>
      <c r="G65" s="30"/>
      <c r="H65" s="30"/>
    </row>
    <row r="66" spans="2:8" x14ac:dyDescent="0.25">
      <c r="B66" s="30"/>
      <c r="C66" s="36"/>
      <c r="D66" s="35"/>
      <c r="E66" s="30"/>
      <c r="F66" s="30"/>
      <c r="G66" s="30"/>
      <c r="H66" s="30"/>
    </row>
    <row r="67" spans="2:8" x14ac:dyDescent="0.25">
      <c r="B67" s="30"/>
      <c r="C67" s="36"/>
      <c r="D67" s="35"/>
      <c r="E67" s="30"/>
      <c r="F67" s="30"/>
      <c r="G67" s="30"/>
      <c r="H67" s="30"/>
    </row>
    <row r="68" spans="2:8" x14ac:dyDescent="0.25">
      <c r="B68" s="30"/>
      <c r="C68" s="36"/>
      <c r="D68" s="35"/>
      <c r="E68" s="30"/>
      <c r="F68" s="30"/>
      <c r="G68" s="30"/>
      <c r="H68" s="30"/>
    </row>
    <row r="69" spans="2:8" x14ac:dyDescent="0.25">
      <c r="B69" s="30"/>
      <c r="C69" s="36"/>
      <c r="D69" s="35"/>
      <c r="E69" s="30"/>
      <c r="F69" s="30"/>
      <c r="G69" s="30"/>
      <c r="H69" s="30"/>
    </row>
    <row r="70" spans="2:8" x14ac:dyDescent="0.25">
      <c r="B70" s="30"/>
      <c r="C70" s="36"/>
      <c r="D70" s="35"/>
      <c r="E70" s="30"/>
      <c r="F70" s="30"/>
      <c r="G70" s="30"/>
      <c r="H70" s="30"/>
    </row>
    <row r="71" spans="2:8" x14ac:dyDescent="0.25">
      <c r="B71" s="30"/>
      <c r="C71" s="36"/>
      <c r="D71" s="35"/>
      <c r="E71" s="30"/>
      <c r="F71" s="30"/>
      <c r="G71" s="30"/>
      <c r="H71" s="30"/>
    </row>
    <row r="72" spans="2:8" x14ac:dyDescent="0.25">
      <c r="B72" s="30"/>
      <c r="C72" s="36"/>
      <c r="D72" s="35"/>
      <c r="E72" s="30"/>
      <c r="F72" s="30"/>
      <c r="G72" s="30"/>
      <c r="H72" s="30"/>
    </row>
    <row r="73" spans="2:8" x14ac:dyDescent="0.25">
      <c r="B73" s="30"/>
      <c r="C73" s="36"/>
      <c r="D73" s="35"/>
      <c r="E73" s="30"/>
      <c r="F73" s="30"/>
      <c r="G73" s="30"/>
      <c r="H73" s="30"/>
    </row>
    <row r="74" spans="2:8" x14ac:dyDescent="0.25">
      <c r="B74" s="30"/>
      <c r="C74" s="36"/>
      <c r="D74" s="35"/>
      <c r="E74" s="30"/>
      <c r="F74" s="30"/>
      <c r="G74" s="30"/>
      <c r="H74" s="30"/>
    </row>
    <row r="75" spans="2:8" x14ac:dyDescent="0.25">
      <c r="B75" s="30"/>
      <c r="C75" s="36"/>
      <c r="D75" s="35"/>
      <c r="E75" s="30"/>
      <c r="F75" s="30"/>
      <c r="G75" s="30"/>
      <c r="H75" s="30"/>
    </row>
    <row r="76" spans="2:8" x14ac:dyDescent="0.25">
      <c r="B76" s="30"/>
      <c r="C76" s="36"/>
      <c r="D76" s="35"/>
      <c r="E76" s="30"/>
      <c r="F76" s="30"/>
      <c r="G76" s="30"/>
      <c r="H76" s="30"/>
    </row>
    <row r="77" spans="2:8" x14ac:dyDescent="0.25">
      <c r="B77" s="30"/>
      <c r="C77" s="36"/>
      <c r="D77" s="35"/>
      <c r="E77" s="30"/>
      <c r="F77" s="30"/>
      <c r="G77" s="30"/>
      <c r="H77" s="30"/>
    </row>
    <row r="78" spans="2:8" x14ac:dyDescent="0.25">
      <c r="B78" s="30"/>
      <c r="C78" s="36"/>
      <c r="D78" s="35"/>
      <c r="E78" s="30"/>
      <c r="F78" s="30"/>
      <c r="G78" s="30"/>
      <c r="H78" s="30"/>
    </row>
    <row r="79" spans="2:8" x14ac:dyDescent="0.25">
      <c r="B79" s="30"/>
      <c r="C79" s="36"/>
      <c r="D79" s="35"/>
      <c r="E79" s="30"/>
      <c r="F79" s="30"/>
      <c r="G79" s="30"/>
      <c r="H79" s="30"/>
    </row>
    <row r="80" spans="2:8" x14ac:dyDescent="0.25">
      <c r="B80" s="30"/>
      <c r="C80" s="36"/>
      <c r="D80" s="35"/>
      <c r="E80" s="30"/>
      <c r="F80" s="30"/>
      <c r="G80" s="30"/>
      <c r="H80" s="30"/>
    </row>
    <row r="81" spans="2:8" x14ac:dyDescent="0.25">
      <c r="B81" s="30"/>
      <c r="C81" s="36"/>
      <c r="D81" s="35"/>
      <c r="E81" s="30"/>
      <c r="F81" s="30"/>
      <c r="G81" s="30"/>
      <c r="H81" s="30"/>
    </row>
    <row r="82" spans="2:8" x14ac:dyDescent="0.25">
      <c r="B82" s="30"/>
      <c r="C82" s="36"/>
      <c r="D82" s="35"/>
      <c r="E82" s="30"/>
      <c r="F82" s="30"/>
      <c r="G82" s="30"/>
      <c r="H82" s="30"/>
    </row>
    <row r="83" spans="2:8" x14ac:dyDescent="0.25">
      <c r="B83" s="30"/>
      <c r="C83" s="36"/>
      <c r="D83" s="35"/>
      <c r="E83" s="30"/>
      <c r="F83" s="30"/>
      <c r="G83" s="30"/>
      <c r="H83" s="30"/>
    </row>
    <row r="84" spans="2:8" x14ac:dyDescent="0.25">
      <c r="B84" s="30"/>
      <c r="C84" s="36"/>
      <c r="D84" s="35"/>
      <c r="E84" s="30"/>
      <c r="F84" s="30"/>
      <c r="G84" s="30"/>
      <c r="H84" s="30"/>
    </row>
    <row r="85" spans="2:8" x14ac:dyDescent="0.25">
      <c r="B85" s="30"/>
      <c r="C85" s="36"/>
      <c r="D85" s="35"/>
      <c r="E85" s="30"/>
      <c r="F85" s="30"/>
      <c r="G85" s="30"/>
      <c r="H85" s="30"/>
    </row>
    <row r="86" spans="2:8" x14ac:dyDescent="0.25">
      <c r="B86" s="30"/>
      <c r="C86" s="36"/>
      <c r="D86" s="35"/>
      <c r="E86" s="30"/>
      <c r="F86" s="30"/>
      <c r="G86" s="30"/>
      <c r="H86" s="30"/>
    </row>
    <row r="87" spans="2:8" x14ac:dyDescent="0.25">
      <c r="B87" s="30"/>
      <c r="C87" s="36"/>
      <c r="D87" s="35"/>
      <c r="E87" s="30"/>
      <c r="F87" s="30"/>
      <c r="G87" s="30"/>
      <c r="H87" s="30"/>
    </row>
    <row r="88" spans="2:8" x14ac:dyDescent="0.25">
      <c r="B88" s="30"/>
      <c r="C88" s="36"/>
      <c r="D88" s="35"/>
      <c r="E88" s="30"/>
      <c r="F88" s="30"/>
      <c r="G88" s="30"/>
      <c r="H88" s="30"/>
    </row>
    <row r="89" spans="2:8" x14ac:dyDescent="0.25">
      <c r="B89" s="30"/>
      <c r="C89" s="36"/>
      <c r="D89" s="35"/>
      <c r="E89" s="30"/>
      <c r="F89" s="30"/>
      <c r="G89" s="30"/>
      <c r="H89" s="30"/>
    </row>
    <row r="90" spans="2:8" x14ac:dyDescent="0.25">
      <c r="B90" s="30"/>
      <c r="C90" s="36"/>
      <c r="D90" s="35"/>
      <c r="E90" s="30"/>
      <c r="F90" s="30"/>
      <c r="G90" s="30"/>
      <c r="H90" s="30"/>
    </row>
    <row r="91" spans="2:8" x14ac:dyDescent="0.25">
      <c r="B91" s="30"/>
      <c r="C91" s="36"/>
      <c r="D91" s="35"/>
      <c r="E91" s="30"/>
      <c r="F91" s="30"/>
      <c r="G91" s="30"/>
      <c r="H91" s="30"/>
    </row>
    <row r="92" spans="2:8" x14ac:dyDescent="0.25">
      <c r="B92" s="30"/>
      <c r="C92" s="36"/>
      <c r="D92" s="35"/>
      <c r="E92" s="30"/>
      <c r="F92" s="30"/>
      <c r="G92" s="30"/>
      <c r="H92" s="30"/>
    </row>
    <row r="93" spans="2:8" x14ac:dyDescent="0.25">
      <c r="B93" s="30"/>
      <c r="C93" s="36"/>
      <c r="D93" s="35"/>
      <c r="E93" s="30"/>
      <c r="F93" s="30"/>
      <c r="G93" s="30"/>
      <c r="H93" s="30"/>
    </row>
    <row r="94" spans="2:8" x14ac:dyDescent="0.25">
      <c r="B94" s="30"/>
      <c r="C94" s="36"/>
      <c r="D94" s="35"/>
      <c r="E94" s="30"/>
      <c r="F94" s="30"/>
      <c r="G94" s="30"/>
      <c r="H94" s="30"/>
    </row>
    <row r="95" spans="2:8" x14ac:dyDescent="0.25">
      <c r="B95" s="30"/>
      <c r="C95" s="36"/>
      <c r="D95" s="35"/>
      <c r="E95" s="30"/>
      <c r="F95" s="30"/>
      <c r="G95" s="30"/>
      <c r="H95" s="30"/>
    </row>
    <row r="96" spans="2:8" x14ac:dyDescent="0.25">
      <c r="B96" s="30"/>
      <c r="C96" s="36"/>
      <c r="D96" s="35"/>
      <c r="E96" s="30"/>
      <c r="F96" s="30"/>
      <c r="G96" s="30"/>
      <c r="H96" s="30"/>
    </row>
    <row r="97" spans="2:8" x14ac:dyDescent="0.25">
      <c r="B97" s="30"/>
      <c r="C97" s="36"/>
      <c r="D97" s="35"/>
      <c r="E97" s="30"/>
      <c r="F97" s="30"/>
      <c r="G97" s="30"/>
      <c r="H97" s="30"/>
    </row>
    <row r="98" spans="2:8" x14ac:dyDescent="0.25">
      <c r="B98" s="30"/>
      <c r="C98" s="36"/>
      <c r="D98" s="35"/>
      <c r="E98" s="30"/>
      <c r="F98" s="30"/>
      <c r="G98" s="30"/>
      <c r="H98" s="30"/>
    </row>
    <row r="99" spans="2:8" x14ac:dyDescent="0.25">
      <c r="B99" s="30"/>
      <c r="C99" s="36"/>
      <c r="D99" s="35"/>
      <c r="E99" s="30"/>
      <c r="F99" s="30"/>
      <c r="G99" s="30"/>
      <c r="H99" s="30"/>
    </row>
    <row r="100" spans="2:8" x14ac:dyDescent="0.25">
      <c r="B100" s="30"/>
      <c r="C100" s="36"/>
      <c r="D100" s="35"/>
      <c r="E100" s="30"/>
      <c r="F100" s="30"/>
      <c r="G100" s="30"/>
      <c r="H100" s="30"/>
    </row>
    <row r="101" spans="2:8" x14ac:dyDescent="0.25">
      <c r="B101" s="30"/>
      <c r="C101" s="36"/>
      <c r="D101" s="35"/>
      <c r="E101" s="30"/>
      <c r="F101" s="30"/>
      <c r="G101" s="30"/>
      <c r="H101" s="30"/>
    </row>
    <row r="102" spans="2:8" x14ac:dyDescent="0.25">
      <c r="B102" s="30"/>
      <c r="C102" s="36"/>
      <c r="D102" s="35"/>
      <c r="E102" s="30"/>
      <c r="F102" s="30"/>
      <c r="G102" s="30"/>
      <c r="H102" s="30"/>
    </row>
    <row r="103" spans="2:8" x14ac:dyDescent="0.25">
      <c r="B103" s="30"/>
      <c r="C103" s="36"/>
      <c r="D103" s="35"/>
      <c r="E103" s="30"/>
      <c r="F103" s="30"/>
      <c r="G103" s="30"/>
      <c r="H103" s="30"/>
    </row>
    <row r="104" spans="2:8" x14ac:dyDescent="0.25">
      <c r="B104" s="30"/>
      <c r="C104" s="36"/>
      <c r="D104" s="35"/>
      <c r="E104" s="30"/>
      <c r="F104" s="30"/>
      <c r="G104" s="30"/>
      <c r="H104" s="30"/>
    </row>
    <row r="105" spans="2:8" x14ac:dyDescent="0.25">
      <c r="B105" s="30"/>
      <c r="C105" s="36"/>
      <c r="D105" s="35"/>
      <c r="E105" s="30"/>
      <c r="F105" s="30"/>
      <c r="G105" s="30"/>
      <c r="H105" s="30"/>
    </row>
    <row r="106" spans="2:8" x14ac:dyDescent="0.25">
      <c r="B106" s="30"/>
      <c r="C106" s="36"/>
      <c r="D106" s="35"/>
      <c r="E106" s="30"/>
      <c r="F106" s="30"/>
      <c r="G106" s="30"/>
      <c r="H106" s="30"/>
    </row>
    <row r="107" spans="2:8" x14ac:dyDescent="0.25">
      <c r="B107" s="30"/>
      <c r="C107" s="36"/>
      <c r="D107" s="35"/>
      <c r="E107" s="30"/>
      <c r="F107" s="30"/>
      <c r="G107" s="30"/>
      <c r="H107" s="30"/>
    </row>
    <row r="108" spans="2:8" x14ac:dyDescent="0.25">
      <c r="B108" s="30"/>
      <c r="C108" s="36"/>
      <c r="D108" s="35"/>
      <c r="E108" s="30"/>
      <c r="F108" s="30"/>
      <c r="G108" s="30"/>
      <c r="H108" s="30"/>
    </row>
    <row r="109" spans="2:8" x14ac:dyDescent="0.25">
      <c r="B109" s="30"/>
      <c r="C109" s="36"/>
      <c r="D109" s="35"/>
      <c r="E109" s="30"/>
      <c r="F109" s="30"/>
      <c r="G109" s="30"/>
      <c r="H109" s="30"/>
    </row>
    <row r="110" spans="2:8" x14ac:dyDescent="0.25">
      <c r="B110" s="30"/>
      <c r="C110" s="36"/>
      <c r="D110" s="35"/>
      <c r="E110" s="30"/>
      <c r="F110" s="30"/>
      <c r="G110" s="30"/>
      <c r="H110" s="30"/>
    </row>
    <row r="111" spans="2:8" x14ac:dyDescent="0.25">
      <c r="B111" s="30"/>
      <c r="C111" s="36"/>
      <c r="D111" s="35"/>
      <c r="E111" s="30"/>
      <c r="F111" s="30"/>
      <c r="G111" s="30"/>
      <c r="H111" s="30"/>
    </row>
    <row r="112" spans="2:8" x14ac:dyDescent="0.25">
      <c r="B112" s="30"/>
      <c r="C112" s="36"/>
      <c r="D112" s="35"/>
      <c r="E112" s="30"/>
      <c r="F112" s="30"/>
      <c r="G112" s="30"/>
      <c r="H112" s="30"/>
    </row>
    <row r="113" spans="2:8" x14ac:dyDescent="0.25">
      <c r="B113" s="30"/>
      <c r="C113" s="36"/>
      <c r="D113" s="35"/>
      <c r="E113" s="30"/>
      <c r="F113" s="30"/>
      <c r="G113" s="30"/>
      <c r="H113" s="30"/>
    </row>
    <row r="114" spans="2:8" x14ac:dyDescent="0.25">
      <c r="B114" s="30"/>
      <c r="C114" s="36"/>
      <c r="D114" s="35"/>
      <c r="E114" s="30"/>
      <c r="F114" s="30"/>
      <c r="G114" s="30"/>
      <c r="H114" s="30"/>
    </row>
    <row r="115" spans="2:8" x14ac:dyDescent="0.25">
      <c r="B115" s="30"/>
      <c r="C115" s="36"/>
      <c r="D115" s="35"/>
      <c r="E115" s="30"/>
      <c r="F115" s="30"/>
      <c r="G115" s="30"/>
      <c r="H115" s="30"/>
    </row>
    <row r="116" spans="2:8" x14ac:dyDescent="0.25">
      <c r="B116" s="30"/>
      <c r="C116" s="36"/>
      <c r="D116" s="35"/>
      <c r="E116" s="30"/>
      <c r="F116" s="30"/>
      <c r="G116" s="30"/>
      <c r="H116" s="30"/>
    </row>
    <row r="117" spans="2:8" x14ac:dyDescent="0.25">
      <c r="B117" s="30"/>
      <c r="C117" s="36"/>
      <c r="D117" s="35"/>
      <c r="E117" s="30"/>
      <c r="F117" s="30"/>
      <c r="G117" s="30"/>
      <c r="H117" s="30"/>
    </row>
    <row r="118" spans="2:8" x14ac:dyDescent="0.25">
      <c r="B118" s="30"/>
      <c r="C118" s="36"/>
      <c r="D118" s="35"/>
      <c r="E118" s="30"/>
      <c r="F118" s="30"/>
      <c r="G118" s="30"/>
      <c r="H118" s="30"/>
    </row>
    <row r="119" spans="2:8" x14ac:dyDescent="0.25">
      <c r="B119" s="30"/>
      <c r="C119" s="36"/>
      <c r="D119" s="35"/>
      <c r="E119" s="30"/>
      <c r="F119" s="30"/>
      <c r="G119" s="30"/>
      <c r="H119" s="30"/>
    </row>
    <row r="120" spans="2:8" x14ac:dyDescent="0.25">
      <c r="B120" s="30"/>
      <c r="C120" s="36"/>
      <c r="D120" s="35"/>
      <c r="E120" s="30"/>
      <c r="F120" s="30"/>
      <c r="G120" s="30"/>
      <c r="H120" s="30"/>
    </row>
    <row r="121" spans="2:8" x14ac:dyDescent="0.25">
      <c r="B121" s="30"/>
      <c r="C121" s="36"/>
      <c r="D121" s="35"/>
      <c r="E121" s="30"/>
      <c r="F121" s="30"/>
      <c r="G121" s="30"/>
      <c r="H121" s="30"/>
    </row>
    <row r="122" spans="2:8" x14ac:dyDescent="0.25">
      <c r="B122" s="30"/>
      <c r="C122" s="36"/>
      <c r="D122" s="35"/>
      <c r="E122" s="30"/>
      <c r="F122" s="30"/>
      <c r="G122" s="30"/>
      <c r="H122" s="30"/>
    </row>
    <row r="123" spans="2:8" x14ac:dyDescent="0.25">
      <c r="B123" s="30"/>
      <c r="C123" s="36"/>
      <c r="D123" s="35"/>
      <c r="E123" s="30"/>
      <c r="F123" s="30"/>
      <c r="G123" s="30"/>
      <c r="H123" s="30"/>
    </row>
    <row r="124" spans="2:8" x14ac:dyDescent="0.25">
      <c r="B124" s="30"/>
      <c r="C124" s="36"/>
      <c r="D124" s="35"/>
      <c r="E124" s="30"/>
      <c r="F124" s="30"/>
      <c r="G124" s="30"/>
      <c r="H124" s="30"/>
    </row>
    <row r="125" spans="2:8" x14ac:dyDescent="0.25">
      <c r="B125" s="30"/>
      <c r="C125" s="36"/>
      <c r="D125" s="35"/>
      <c r="E125" s="30"/>
      <c r="F125" s="30"/>
      <c r="G125" s="30"/>
      <c r="H125" s="30"/>
    </row>
    <row r="126" spans="2:8" x14ac:dyDescent="0.25">
      <c r="B126" s="30"/>
      <c r="C126" s="36"/>
      <c r="D126" s="35"/>
      <c r="E126" s="30"/>
      <c r="F126" s="30"/>
      <c r="G126" s="30"/>
      <c r="H126" s="30"/>
    </row>
    <row r="127" spans="2:8" x14ac:dyDescent="0.25">
      <c r="B127" s="30"/>
      <c r="C127" s="36"/>
      <c r="D127" s="35"/>
      <c r="E127" s="30"/>
      <c r="F127" s="30"/>
      <c r="G127" s="30"/>
      <c r="H127" s="30"/>
    </row>
    <row r="128" spans="2:8" x14ac:dyDescent="0.25">
      <c r="B128" s="30"/>
      <c r="C128" s="36"/>
      <c r="D128" s="35"/>
      <c r="E128" s="30"/>
      <c r="F128" s="30"/>
      <c r="G128" s="30"/>
      <c r="H128" s="30"/>
    </row>
    <row r="129" spans="2:8" x14ac:dyDescent="0.25">
      <c r="B129" s="30"/>
      <c r="C129" s="36"/>
      <c r="D129" s="35"/>
      <c r="E129" s="30"/>
      <c r="F129" s="30"/>
      <c r="G129" s="30"/>
      <c r="H129" s="30"/>
    </row>
    <row r="130" spans="2:8" x14ac:dyDescent="0.25">
      <c r="B130" s="30"/>
      <c r="C130" s="36"/>
      <c r="D130" s="35"/>
      <c r="E130" s="30"/>
      <c r="F130" s="30"/>
      <c r="G130" s="30"/>
      <c r="H130" s="30"/>
    </row>
    <row r="131" spans="2:8" x14ac:dyDescent="0.25">
      <c r="B131" s="30"/>
      <c r="C131" s="36"/>
      <c r="D131" s="35"/>
      <c r="E131" s="30"/>
      <c r="F131" s="30"/>
      <c r="G131" s="30"/>
      <c r="H131" s="30"/>
    </row>
    <row r="132" spans="2:8" x14ac:dyDescent="0.25">
      <c r="B132" s="30"/>
      <c r="C132" s="36"/>
      <c r="D132" s="35"/>
      <c r="E132" s="30"/>
      <c r="F132" s="30"/>
      <c r="G132" s="30"/>
      <c r="H132" s="30"/>
    </row>
    <row r="133" spans="2:8" x14ac:dyDescent="0.25">
      <c r="B133" s="30"/>
      <c r="C133" s="36"/>
      <c r="D133" s="35"/>
      <c r="E133" s="30"/>
      <c r="F133" s="30"/>
      <c r="G133" s="30"/>
      <c r="H133" s="30"/>
    </row>
    <row r="134" spans="2:8" x14ac:dyDescent="0.25">
      <c r="B134" s="30"/>
      <c r="C134" s="36"/>
      <c r="D134" s="35"/>
      <c r="E134" s="30"/>
      <c r="F134" s="30"/>
      <c r="G134" s="30"/>
      <c r="H134" s="30"/>
    </row>
    <row r="135" spans="2:8" x14ac:dyDescent="0.25">
      <c r="B135" s="30"/>
      <c r="C135" s="36"/>
      <c r="D135" s="35"/>
      <c r="E135" s="30"/>
      <c r="F135" s="30"/>
      <c r="G135" s="30"/>
      <c r="H135" s="30"/>
    </row>
    <row r="136" spans="2:8" x14ac:dyDescent="0.25">
      <c r="B136" s="30"/>
      <c r="C136" s="36"/>
      <c r="D136" s="35"/>
      <c r="E136" s="30"/>
      <c r="F136" s="30"/>
      <c r="G136" s="30"/>
      <c r="H136" s="30"/>
    </row>
    <row r="137" spans="2:8" x14ac:dyDescent="0.25">
      <c r="B137" s="30"/>
      <c r="C137" s="36"/>
      <c r="D137" s="35"/>
      <c r="E137" s="30"/>
      <c r="F137" s="30"/>
      <c r="G137" s="30"/>
      <c r="H137" s="30"/>
    </row>
    <row r="138" spans="2:8" x14ac:dyDescent="0.25">
      <c r="B138" s="30"/>
      <c r="C138" s="36"/>
      <c r="D138" s="35"/>
      <c r="E138" s="30"/>
      <c r="F138" s="30"/>
      <c r="G138" s="30"/>
      <c r="H138" s="30"/>
    </row>
    <row r="139" spans="2:8" x14ac:dyDescent="0.25">
      <c r="B139" s="30"/>
      <c r="C139" s="36"/>
      <c r="D139" s="35"/>
      <c r="E139" s="30"/>
      <c r="F139" s="30"/>
      <c r="G139" s="30"/>
      <c r="H139" s="30"/>
    </row>
    <row r="140" spans="2:8" x14ac:dyDescent="0.25">
      <c r="B140" s="30"/>
      <c r="C140" s="36"/>
      <c r="D140" s="35"/>
      <c r="E140" s="30"/>
      <c r="F140" s="30"/>
      <c r="G140" s="30"/>
      <c r="H140" s="30"/>
    </row>
    <row r="141" spans="2:8" x14ac:dyDescent="0.25">
      <c r="B141" s="30"/>
      <c r="C141" s="36"/>
      <c r="D141" s="35"/>
      <c r="E141" s="30"/>
      <c r="F141" s="30"/>
      <c r="G141" s="30"/>
      <c r="H141" s="30"/>
    </row>
    <row r="142" spans="2:8" x14ac:dyDescent="0.25">
      <c r="B142" s="30"/>
      <c r="C142" s="36"/>
      <c r="D142" s="35"/>
      <c r="E142" s="30"/>
      <c r="F142" s="30"/>
      <c r="G142" s="30"/>
      <c r="H142" s="30"/>
    </row>
    <row r="143" spans="2:8" x14ac:dyDescent="0.25">
      <c r="B143" s="30"/>
      <c r="C143" s="36"/>
      <c r="D143" s="35"/>
      <c r="E143" s="30"/>
      <c r="F143" s="30"/>
      <c r="G143" s="30"/>
      <c r="H143" s="30"/>
    </row>
    <row r="144" spans="2:8" x14ac:dyDescent="0.25">
      <c r="B144" s="30"/>
      <c r="C144" s="36"/>
      <c r="D144" s="35"/>
      <c r="E144" s="30"/>
      <c r="F144" s="30"/>
      <c r="G144" s="30"/>
      <c r="H144" s="30"/>
    </row>
    <row r="145" spans="2:8" x14ac:dyDescent="0.25">
      <c r="B145" s="30"/>
      <c r="C145" s="36"/>
      <c r="D145" s="35"/>
      <c r="E145" s="30"/>
      <c r="F145" s="30"/>
      <c r="G145" s="30"/>
      <c r="H145" s="30"/>
    </row>
    <row r="146" spans="2:8" x14ac:dyDescent="0.25">
      <c r="B146" s="30"/>
      <c r="C146" s="36"/>
      <c r="D146" s="35"/>
      <c r="E146" s="30"/>
      <c r="F146" s="30"/>
      <c r="G146" s="30"/>
      <c r="H146" s="30"/>
    </row>
    <row r="147" spans="2:8" x14ac:dyDescent="0.25">
      <c r="B147" s="30"/>
      <c r="C147" s="36"/>
      <c r="D147" s="35"/>
      <c r="E147" s="30"/>
      <c r="F147" s="30"/>
      <c r="G147" s="30"/>
      <c r="H147" s="30"/>
    </row>
    <row r="148" spans="2:8" x14ac:dyDescent="0.25">
      <c r="B148" s="30"/>
      <c r="C148" s="36"/>
      <c r="D148" s="35"/>
      <c r="E148" s="30"/>
      <c r="F148" s="30"/>
      <c r="G148" s="30"/>
      <c r="H148" s="30"/>
    </row>
    <row r="149" spans="2:8" x14ac:dyDescent="0.25">
      <c r="B149" s="30"/>
      <c r="C149" s="36"/>
      <c r="D149" s="35"/>
      <c r="E149" s="30"/>
      <c r="F149" s="30"/>
      <c r="G149" s="30"/>
      <c r="H149" s="30"/>
    </row>
    <row r="150" spans="2:8" x14ac:dyDescent="0.25">
      <c r="B150" s="30"/>
      <c r="C150" s="36"/>
      <c r="D150" s="35"/>
      <c r="E150" s="30"/>
      <c r="F150" s="30"/>
      <c r="G150" s="30"/>
      <c r="H150" s="30"/>
    </row>
    <row r="151" spans="2:8" x14ac:dyDescent="0.25">
      <c r="B151" s="30"/>
      <c r="C151" s="36"/>
      <c r="D151" s="35"/>
      <c r="E151" s="30"/>
      <c r="F151" s="30"/>
      <c r="G151" s="30"/>
      <c r="H151" s="30"/>
    </row>
    <row r="152" spans="2:8" x14ac:dyDescent="0.25">
      <c r="B152" s="30"/>
      <c r="C152" s="36"/>
      <c r="D152" s="35"/>
      <c r="E152" s="30"/>
      <c r="F152" s="30"/>
      <c r="G152" s="30"/>
      <c r="H152" s="30"/>
    </row>
    <row r="153" spans="2:8" x14ac:dyDescent="0.25">
      <c r="B153" s="30"/>
      <c r="C153" s="36"/>
      <c r="D153" s="35"/>
      <c r="E153" s="30"/>
      <c r="F153" s="30"/>
      <c r="G153" s="30"/>
      <c r="H153" s="30"/>
    </row>
    <row r="154" spans="2:8" x14ac:dyDescent="0.25">
      <c r="B154" s="30"/>
      <c r="C154" s="36"/>
      <c r="D154" s="35"/>
      <c r="E154" s="30"/>
      <c r="F154" s="30"/>
      <c r="G154" s="30"/>
      <c r="H154" s="30"/>
    </row>
    <row r="155" spans="2:8" x14ac:dyDescent="0.25">
      <c r="B155" s="30"/>
      <c r="C155" s="36"/>
      <c r="D155" s="35"/>
      <c r="E155" s="30"/>
      <c r="F155" s="30"/>
      <c r="G155" s="30"/>
      <c r="H155" s="30"/>
    </row>
    <row r="156" spans="2:8" x14ac:dyDescent="0.25">
      <c r="B156" s="30"/>
      <c r="C156" s="36"/>
      <c r="D156" s="35"/>
      <c r="E156" s="30"/>
      <c r="F156" s="30"/>
      <c r="G156" s="30"/>
      <c r="H156" s="30"/>
    </row>
    <row r="157" spans="2:8" x14ac:dyDescent="0.25">
      <c r="B157" s="30"/>
      <c r="C157" s="36"/>
      <c r="D157" s="35"/>
      <c r="E157" s="30"/>
      <c r="F157" s="30"/>
      <c r="G157" s="30"/>
      <c r="H157" s="30"/>
    </row>
    <row r="158" spans="2:8" x14ac:dyDescent="0.25">
      <c r="B158" s="30"/>
      <c r="C158" s="36"/>
      <c r="D158" s="35"/>
      <c r="E158" s="30"/>
      <c r="F158" s="30"/>
      <c r="G158" s="30"/>
      <c r="H158" s="30"/>
    </row>
    <row r="159" spans="2:8" x14ac:dyDescent="0.25">
      <c r="B159" s="30"/>
      <c r="C159" s="36"/>
      <c r="D159" s="35"/>
      <c r="E159" s="30"/>
      <c r="F159" s="30"/>
      <c r="G159" s="30"/>
      <c r="H159" s="30"/>
    </row>
    <row r="160" spans="2:8" x14ac:dyDescent="0.25">
      <c r="B160" s="30"/>
      <c r="C160" s="36"/>
      <c r="D160" s="35"/>
      <c r="E160" s="30"/>
      <c r="F160" s="30"/>
      <c r="G160" s="30"/>
      <c r="H160" s="30"/>
    </row>
    <row r="161" spans="2:8" x14ac:dyDescent="0.25">
      <c r="B161" s="30"/>
      <c r="C161" s="36"/>
      <c r="D161" s="35"/>
      <c r="E161" s="30"/>
      <c r="F161" s="30"/>
      <c r="G161" s="30"/>
      <c r="H161" s="30"/>
    </row>
    <row r="162" spans="2:8" x14ac:dyDescent="0.25">
      <c r="B162" s="30"/>
      <c r="C162" s="36"/>
      <c r="D162" s="35"/>
      <c r="E162" s="30"/>
      <c r="F162" s="30"/>
      <c r="G162" s="30"/>
      <c r="H162" s="30"/>
    </row>
    <row r="163" spans="2:8" x14ac:dyDescent="0.25">
      <c r="B163" s="30"/>
      <c r="C163" s="36"/>
      <c r="D163" s="35"/>
      <c r="E163" s="30"/>
      <c r="F163" s="30"/>
      <c r="G163" s="30"/>
      <c r="H163" s="30"/>
    </row>
    <row r="164" spans="2:8" x14ac:dyDescent="0.25">
      <c r="B164" s="30"/>
      <c r="C164" s="36"/>
      <c r="D164" s="35"/>
      <c r="E164" s="30"/>
      <c r="F164" s="30"/>
      <c r="G164" s="30"/>
      <c r="H164" s="30"/>
    </row>
    <row r="165" spans="2:8" x14ac:dyDescent="0.25">
      <c r="B165" s="30"/>
      <c r="C165" s="36"/>
      <c r="D165" s="35"/>
      <c r="E165" s="30"/>
      <c r="F165" s="30"/>
      <c r="G165" s="30"/>
      <c r="H165" s="30"/>
    </row>
    <row r="166" spans="2:8" x14ac:dyDescent="0.25">
      <c r="B166" s="30"/>
      <c r="C166" s="36"/>
      <c r="D166" s="35"/>
      <c r="E166" s="30"/>
      <c r="F166" s="30"/>
      <c r="G166" s="30"/>
      <c r="H166" s="30"/>
    </row>
    <row r="167" spans="2:8" x14ac:dyDescent="0.25">
      <c r="B167" s="30"/>
      <c r="C167" s="36"/>
      <c r="D167" s="35"/>
      <c r="E167" s="30"/>
      <c r="F167" s="30"/>
      <c r="G167" s="30"/>
      <c r="H167" s="30"/>
    </row>
    <row r="168" spans="2:8" x14ac:dyDescent="0.25">
      <c r="B168" s="30"/>
      <c r="C168" s="36"/>
      <c r="D168" s="35"/>
      <c r="E168" s="30"/>
      <c r="F168" s="30"/>
      <c r="G168" s="30"/>
      <c r="H168" s="30"/>
    </row>
    <row r="169" spans="2:8" x14ac:dyDescent="0.25">
      <c r="B169" s="30"/>
      <c r="C169" s="36"/>
      <c r="D169" s="35"/>
      <c r="E169" s="30"/>
      <c r="F169" s="30"/>
      <c r="G169" s="30"/>
      <c r="H169" s="30"/>
    </row>
    <row r="170" spans="2:8" x14ac:dyDescent="0.25">
      <c r="B170" s="30"/>
      <c r="C170" s="36"/>
      <c r="D170" s="35"/>
      <c r="E170" s="30"/>
      <c r="F170" s="30"/>
      <c r="G170" s="30"/>
      <c r="H170" s="30"/>
    </row>
    <row r="171" spans="2:8" x14ac:dyDescent="0.25">
      <c r="B171" s="30"/>
      <c r="C171" s="36"/>
      <c r="D171" s="35"/>
      <c r="E171" s="30"/>
      <c r="F171" s="30"/>
      <c r="G171" s="30"/>
      <c r="H171" s="30"/>
    </row>
    <row r="172" spans="2:8" x14ac:dyDescent="0.25">
      <c r="B172" s="30"/>
      <c r="C172" s="36"/>
      <c r="D172" s="35"/>
      <c r="E172" s="30"/>
      <c r="F172" s="30"/>
      <c r="G172" s="30"/>
      <c r="H172" s="30"/>
    </row>
    <row r="173" spans="2:8" x14ac:dyDescent="0.25">
      <c r="B173" s="30"/>
      <c r="C173" s="36"/>
      <c r="D173" s="35"/>
      <c r="E173" s="30"/>
      <c r="F173" s="30"/>
      <c r="G173" s="30"/>
      <c r="H173" s="30"/>
    </row>
    <row r="174" spans="2:8" x14ac:dyDescent="0.25">
      <c r="B174" s="30"/>
      <c r="C174" s="36"/>
      <c r="D174" s="35"/>
      <c r="E174" s="30"/>
      <c r="F174" s="30"/>
      <c r="G174" s="30"/>
      <c r="H174" s="30"/>
    </row>
    <row r="175" spans="2:8" x14ac:dyDescent="0.25">
      <c r="B175" s="30"/>
      <c r="C175" s="36"/>
      <c r="D175" s="35"/>
      <c r="E175" s="30"/>
      <c r="F175" s="30"/>
      <c r="G175" s="30"/>
      <c r="H175" s="30"/>
    </row>
    <row r="176" spans="2:8" x14ac:dyDescent="0.25">
      <c r="B176" s="30"/>
      <c r="C176" s="36"/>
      <c r="D176" s="35"/>
      <c r="E176" s="30"/>
      <c r="F176" s="30"/>
      <c r="G176" s="30"/>
      <c r="H176" s="30"/>
    </row>
    <row r="177" spans="2:8" x14ac:dyDescent="0.25">
      <c r="B177" s="30"/>
      <c r="C177" s="36"/>
      <c r="D177" s="35"/>
      <c r="E177" s="30"/>
      <c r="F177" s="30"/>
      <c r="G177" s="30"/>
      <c r="H177" s="30"/>
    </row>
    <row r="178" spans="2:8" x14ac:dyDescent="0.25">
      <c r="B178" s="30"/>
      <c r="C178" s="36"/>
      <c r="D178" s="35"/>
      <c r="E178" s="30"/>
      <c r="F178" s="30"/>
      <c r="G178" s="30"/>
      <c r="H178" s="30"/>
    </row>
    <row r="179" spans="2:8" x14ac:dyDescent="0.25">
      <c r="B179" s="30"/>
      <c r="C179" s="36"/>
      <c r="D179" s="35"/>
      <c r="E179" s="30"/>
      <c r="F179" s="30"/>
      <c r="G179" s="30"/>
      <c r="H179" s="30"/>
    </row>
    <row r="180" spans="2:8" x14ac:dyDescent="0.25">
      <c r="B180" s="30"/>
      <c r="C180" s="36"/>
      <c r="D180" s="35"/>
      <c r="E180" s="30"/>
      <c r="F180" s="30"/>
      <c r="G180" s="30"/>
      <c r="H180" s="30"/>
    </row>
    <row r="181" spans="2:8" x14ac:dyDescent="0.25">
      <c r="B181" s="30"/>
      <c r="C181" s="36"/>
      <c r="D181" s="35"/>
      <c r="E181" s="30"/>
      <c r="F181" s="30"/>
      <c r="G181" s="30"/>
      <c r="H181" s="30"/>
    </row>
    <row r="182" spans="2:8" x14ac:dyDescent="0.25">
      <c r="B182" s="30"/>
      <c r="C182" s="36"/>
      <c r="D182" s="35"/>
      <c r="E182" s="30"/>
      <c r="F182" s="30"/>
      <c r="G182" s="30"/>
      <c r="H182" s="30"/>
    </row>
    <row r="183" spans="2:8" x14ac:dyDescent="0.25">
      <c r="B183" s="30"/>
      <c r="C183" s="36"/>
      <c r="D183" s="35"/>
      <c r="E183" s="30"/>
      <c r="F183" s="30"/>
      <c r="G183" s="30"/>
      <c r="H183" s="30"/>
    </row>
    <row r="184" spans="2:8" x14ac:dyDescent="0.25">
      <c r="B184" s="30"/>
      <c r="C184" s="36"/>
      <c r="D184" s="35"/>
      <c r="E184" s="30"/>
      <c r="F184" s="30"/>
      <c r="G184" s="30"/>
      <c r="H184" s="30"/>
    </row>
    <row r="185" spans="2:8" x14ac:dyDescent="0.25">
      <c r="B185" s="30"/>
      <c r="C185" s="36"/>
      <c r="D185" s="35"/>
      <c r="E185" s="30"/>
      <c r="F185" s="30"/>
      <c r="G185" s="30"/>
      <c r="H185" s="30"/>
    </row>
    <row r="186" spans="2:8" x14ac:dyDescent="0.25">
      <c r="B186" s="30"/>
      <c r="C186" s="36"/>
      <c r="D186" s="35"/>
      <c r="E186" s="30"/>
      <c r="F186" s="30"/>
      <c r="G186" s="30"/>
      <c r="H186" s="30"/>
    </row>
    <row r="187" spans="2:8" x14ac:dyDescent="0.25">
      <c r="B187" s="30"/>
      <c r="C187" s="36"/>
      <c r="D187" s="35"/>
      <c r="E187" s="30"/>
      <c r="F187" s="30"/>
      <c r="G187" s="30"/>
      <c r="H187" s="30"/>
    </row>
    <row r="188" spans="2:8" x14ac:dyDescent="0.25">
      <c r="B188" s="30"/>
      <c r="C188" s="36"/>
      <c r="D188" s="35"/>
      <c r="E188" s="30"/>
      <c r="F188" s="30"/>
      <c r="G188" s="30"/>
      <c r="H188" s="30"/>
    </row>
    <row r="189" spans="2:8" x14ac:dyDescent="0.25">
      <c r="B189" s="30"/>
      <c r="C189" s="36"/>
      <c r="D189" s="35"/>
      <c r="E189" s="30"/>
      <c r="F189" s="30"/>
      <c r="G189" s="30"/>
      <c r="H189" s="30"/>
    </row>
    <row r="190" spans="2:8" x14ac:dyDescent="0.25">
      <c r="B190" s="30"/>
      <c r="C190" s="36"/>
      <c r="D190" s="35"/>
      <c r="E190" s="30"/>
      <c r="F190" s="30"/>
      <c r="G190" s="30"/>
      <c r="H190" s="30"/>
    </row>
    <row r="191" spans="2:8" x14ac:dyDescent="0.25">
      <c r="B191" s="30"/>
      <c r="C191" s="36"/>
      <c r="D191" s="35"/>
      <c r="E191" s="30"/>
      <c r="F191" s="30"/>
      <c r="G191" s="30"/>
      <c r="H191" s="30"/>
    </row>
    <row r="192" spans="2:8" x14ac:dyDescent="0.25">
      <c r="B192" s="30"/>
      <c r="C192" s="36"/>
      <c r="D192" s="35"/>
      <c r="E192" s="30"/>
      <c r="F192" s="30"/>
      <c r="G192" s="30"/>
      <c r="H192" s="30"/>
    </row>
    <row r="193" spans="2:8" x14ac:dyDescent="0.25">
      <c r="B193" s="30"/>
      <c r="C193" s="36"/>
      <c r="D193" s="35"/>
      <c r="E193" s="30"/>
      <c r="F193" s="30"/>
      <c r="G193" s="30"/>
      <c r="H193" s="30"/>
    </row>
    <row r="194" spans="2:8" x14ac:dyDescent="0.25">
      <c r="B194" s="30"/>
      <c r="C194" s="36"/>
      <c r="D194" s="35"/>
      <c r="E194" s="30"/>
      <c r="F194" s="30"/>
      <c r="G194" s="30"/>
      <c r="H194" s="30"/>
    </row>
    <row r="195" spans="2:8" x14ac:dyDescent="0.25">
      <c r="B195" s="30"/>
      <c r="C195" s="36"/>
      <c r="D195" s="35"/>
      <c r="E195" s="30"/>
      <c r="F195" s="30"/>
      <c r="G195" s="30"/>
      <c r="H195" s="30"/>
    </row>
    <row r="196" spans="2:8" x14ac:dyDescent="0.25">
      <c r="B196" s="30"/>
      <c r="C196" s="36"/>
      <c r="D196" s="35"/>
      <c r="E196" s="30"/>
      <c r="F196" s="30"/>
      <c r="G196" s="30"/>
      <c r="H196" s="30"/>
    </row>
    <row r="197" spans="2:8" x14ac:dyDescent="0.25">
      <c r="B197" s="30"/>
      <c r="C197" s="36"/>
      <c r="D197" s="35"/>
      <c r="E197" s="30"/>
      <c r="F197" s="30"/>
      <c r="G197" s="30"/>
      <c r="H197" s="30"/>
    </row>
    <row r="198" spans="2:8" x14ac:dyDescent="0.25">
      <c r="B198" s="30"/>
      <c r="C198" s="36"/>
      <c r="D198" s="35"/>
      <c r="E198" s="30"/>
      <c r="F198" s="30"/>
      <c r="G198" s="30"/>
      <c r="H198" s="30"/>
    </row>
    <row r="199" spans="2:8" x14ac:dyDescent="0.25">
      <c r="B199" s="30"/>
      <c r="C199" s="36"/>
      <c r="D199" s="35"/>
      <c r="E199" s="30"/>
      <c r="F199" s="30"/>
      <c r="G199" s="30"/>
      <c r="H199" s="30"/>
    </row>
    <row r="200" spans="2:8" x14ac:dyDescent="0.25">
      <c r="B200" s="30"/>
      <c r="C200" s="36"/>
      <c r="D200" s="35"/>
      <c r="E200" s="30"/>
      <c r="F200" s="30"/>
      <c r="G200" s="30"/>
      <c r="H200" s="30"/>
    </row>
    <row r="201" spans="2:8" x14ac:dyDescent="0.25">
      <c r="B201" s="30"/>
      <c r="C201" s="36"/>
      <c r="D201" s="35"/>
      <c r="E201" s="30"/>
      <c r="F201" s="30"/>
      <c r="G201" s="30"/>
      <c r="H201" s="30"/>
    </row>
    <row r="202" spans="2:8" x14ac:dyDescent="0.25">
      <c r="B202" s="30"/>
      <c r="C202" s="36"/>
      <c r="D202" s="35"/>
      <c r="E202" s="30"/>
      <c r="F202" s="30"/>
      <c r="G202" s="30"/>
      <c r="H202" s="30"/>
    </row>
    <row r="203" spans="2:8" x14ac:dyDescent="0.25">
      <c r="B203" s="30"/>
      <c r="C203" s="36"/>
      <c r="D203" s="35"/>
      <c r="E203" s="30"/>
      <c r="F203" s="30"/>
      <c r="G203" s="30"/>
      <c r="H203" s="30"/>
    </row>
    <row r="204" spans="2:8" x14ac:dyDescent="0.25">
      <c r="B204" s="30"/>
      <c r="C204" s="36"/>
      <c r="D204" s="35"/>
      <c r="E204" s="30"/>
      <c r="F204" s="30"/>
      <c r="G204" s="30"/>
      <c r="H204" s="30"/>
    </row>
    <row r="205" spans="2:8" x14ac:dyDescent="0.25">
      <c r="B205" s="30"/>
      <c r="C205" s="36"/>
      <c r="D205" s="35"/>
      <c r="E205" s="30"/>
      <c r="F205" s="30"/>
      <c r="G205" s="30"/>
      <c r="H205" s="30"/>
    </row>
    <row r="206" spans="2:8" x14ac:dyDescent="0.25">
      <c r="B206" s="30"/>
      <c r="C206" s="36"/>
      <c r="D206" s="35"/>
      <c r="E206" s="30"/>
      <c r="F206" s="30"/>
      <c r="G206" s="30"/>
      <c r="H206" s="30"/>
    </row>
    <row r="207" spans="2:8" x14ac:dyDescent="0.25">
      <c r="B207" s="30"/>
      <c r="C207" s="36"/>
      <c r="D207" s="35"/>
      <c r="E207" s="30"/>
      <c r="F207" s="30"/>
      <c r="G207" s="30"/>
      <c r="H207" s="30"/>
    </row>
    <row r="208" spans="2:8" x14ac:dyDescent="0.25">
      <c r="B208" s="30"/>
      <c r="C208" s="36"/>
      <c r="D208" s="35"/>
      <c r="E208" s="30"/>
      <c r="F208" s="30"/>
      <c r="G208" s="30"/>
      <c r="H208" s="30"/>
    </row>
    <row r="209" spans="2:8" x14ac:dyDescent="0.25">
      <c r="B209" s="30"/>
      <c r="C209" s="36"/>
      <c r="D209" s="35"/>
      <c r="E209" s="30"/>
      <c r="F209" s="30"/>
      <c r="G209" s="30"/>
      <c r="H209" s="30"/>
    </row>
    <row r="210" spans="2:8" x14ac:dyDescent="0.25">
      <c r="B210" s="30"/>
      <c r="C210" s="36"/>
      <c r="D210" s="35"/>
      <c r="E210" s="30"/>
      <c r="F210" s="30"/>
      <c r="G210" s="30"/>
      <c r="H210" s="30"/>
    </row>
    <row r="211" spans="2:8" x14ac:dyDescent="0.25">
      <c r="B211" s="30"/>
      <c r="C211" s="36"/>
      <c r="D211" s="35"/>
      <c r="E211" s="30"/>
      <c r="F211" s="30"/>
      <c r="G211" s="30"/>
      <c r="H211" s="30"/>
    </row>
    <row r="212" spans="2:8" x14ac:dyDescent="0.25">
      <c r="B212" s="30"/>
      <c r="C212" s="36"/>
      <c r="D212" s="35"/>
      <c r="E212" s="30"/>
      <c r="F212" s="30"/>
      <c r="G212" s="30"/>
      <c r="H212" s="30"/>
    </row>
    <row r="213" spans="2:8" x14ac:dyDescent="0.25">
      <c r="B213" s="30"/>
      <c r="C213" s="36"/>
      <c r="D213" s="35"/>
      <c r="E213" s="30"/>
      <c r="F213" s="30"/>
      <c r="G213" s="30"/>
      <c r="H213" s="30"/>
    </row>
    <row r="214" spans="2:8" x14ac:dyDescent="0.25">
      <c r="B214" s="30"/>
      <c r="C214" s="36"/>
      <c r="D214" s="35"/>
      <c r="E214" s="30"/>
      <c r="F214" s="30"/>
      <c r="G214" s="30"/>
      <c r="H214" s="30"/>
    </row>
    <row r="215" spans="2:8" x14ac:dyDescent="0.25">
      <c r="B215" s="30"/>
      <c r="C215" s="36"/>
      <c r="D215" s="35"/>
      <c r="E215" s="30"/>
      <c r="F215" s="30"/>
      <c r="G215" s="30"/>
      <c r="H215" s="30"/>
    </row>
    <row r="216" spans="2:8" x14ac:dyDescent="0.25">
      <c r="B216" s="30"/>
      <c r="C216" s="36"/>
      <c r="D216" s="35"/>
      <c r="E216" s="30"/>
      <c r="F216" s="30"/>
      <c r="G216" s="30"/>
      <c r="H216" s="30"/>
    </row>
    <row r="217" spans="2:8" x14ac:dyDescent="0.25">
      <c r="B217" s="30"/>
      <c r="C217" s="36"/>
      <c r="D217" s="35"/>
      <c r="E217" s="30"/>
      <c r="F217" s="30"/>
      <c r="G217" s="30"/>
      <c r="H217" s="30"/>
    </row>
    <row r="218" spans="2:8" x14ac:dyDescent="0.25">
      <c r="B218" s="30"/>
      <c r="C218" s="36"/>
      <c r="D218" s="35"/>
      <c r="E218" s="30"/>
      <c r="F218" s="30"/>
      <c r="G218" s="30"/>
      <c r="H218" s="30"/>
    </row>
    <row r="219" spans="2:8" x14ac:dyDescent="0.25">
      <c r="B219" s="30"/>
      <c r="C219" s="36"/>
      <c r="D219" s="35"/>
      <c r="E219" s="30"/>
      <c r="F219" s="30"/>
      <c r="G219" s="30"/>
      <c r="H219" s="30"/>
    </row>
    <row r="220" spans="2:8" x14ac:dyDescent="0.25">
      <c r="B220" s="30"/>
      <c r="C220" s="36"/>
      <c r="D220" s="35"/>
      <c r="E220" s="30"/>
      <c r="F220" s="30"/>
      <c r="G220" s="30"/>
      <c r="H220" s="30"/>
    </row>
    <row r="221" spans="2:8" x14ac:dyDescent="0.25">
      <c r="B221" s="30"/>
      <c r="C221" s="36"/>
      <c r="D221" s="35"/>
      <c r="E221" s="30"/>
      <c r="F221" s="30"/>
      <c r="G221" s="30"/>
      <c r="H221" s="30"/>
    </row>
    <row r="222" spans="2:8" x14ac:dyDescent="0.25">
      <c r="B222" s="30"/>
      <c r="C222" s="36"/>
      <c r="D222" s="35"/>
      <c r="E222" s="30"/>
      <c r="F222" s="30"/>
      <c r="G222" s="30"/>
      <c r="H222" s="30"/>
    </row>
    <row r="223" spans="2:8" x14ac:dyDescent="0.25">
      <c r="B223" s="30"/>
      <c r="C223" s="36"/>
      <c r="D223" s="35"/>
      <c r="E223" s="30"/>
      <c r="F223" s="30"/>
      <c r="G223" s="30"/>
      <c r="H223" s="30"/>
    </row>
    <row r="224" spans="2:8" x14ac:dyDescent="0.25">
      <c r="B224" s="30"/>
      <c r="C224" s="36"/>
      <c r="D224" s="35"/>
      <c r="E224" s="30"/>
      <c r="F224" s="30"/>
      <c r="G224" s="30"/>
      <c r="H224" s="30"/>
    </row>
    <row r="225" spans="2:8" x14ac:dyDescent="0.25">
      <c r="B225" s="30"/>
      <c r="C225" s="36"/>
      <c r="D225" s="35"/>
      <c r="E225" s="30"/>
      <c r="F225" s="30"/>
      <c r="G225" s="30"/>
      <c r="H225" s="30"/>
    </row>
    <row r="226" spans="2:8" x14ac:dyDescent="0.25">
      <c r="B226" s="30"/>
      <c r="C226" s="36"/>
      <c r="D226" s="35"/>
      <c r="E226" s="30"/>
      <c r="F226" s="30"/>
      <c r="G226" s="30"/>
      <c r="H226" s="30"/>
    </row>
    <row r="227" spans="2:8" x14ac:dyDescent="0.25">
      <c r="B227" s="30"/>
      <c r="C227" s="36"/>
      <c r="D227" s="35"/>
      <c r="E227" s="30"/>
      <c r="F227" s="30"/>
      <c r="G227" s="30"/>
      <c r="H227" s="30"/>
    </row>
    <row r="228" spans="2:8" x14ac:dyDescent="0.25">
      <c r="B228" s="30"/>
      <c r="C228" s="36"/>
      <c r="D228" s="35"/>
      <c r="E228" s="30"/>
      <c r="F228" s="30"/>
      <c r="G228" s="30"/>
      <c r="H228" s="30"/>
    </row>
    <row r="229" spans="2:8" x14ac:dyDescent="0.25">
      <c r="B229" s="30"/>
      <c r="C229" s="36"/>
      <c r="D229" s="35"/>
      <c r="E229" s="30"/>
      <c r="F229" s="30"/>
      <c r="G229" s="30"/>
      <c r="H229" s="30"/>
    </row>
    <row r="230" spans="2:8" x14ac:dyDescent="0.25">
      <c r="B230" s="30"/>
      <c r="C230" s="36"/>
      <c r="D230" s="35"/>
      <c r="E230" s="30"/>
      <c r="F230" s="30"/>
      <c r="G230" s="30"/>
      <c r="H230" s="30"/>
    </row>
    <row r="231" spans="2:8" x14ac:dyDescent="0.25">
      <c r="B231" s="30"/>
      <c r="C231" s="36"/>
      <c r="D231" s="35"/>
      <c r="E231" s="30"/>
      <c r="F231" s="30"/>
      <c r="G231" s="30"/>
      <c r="H231" s="30"/>
    </row>
    <row r="232" spans="2:8" x14ac:dyDescent="0.25">
      <c r="B232" s="30"/>
      <c r="C232" s="36"/>
      <c r="D232" s="35"/>
      <c r="E232" s="30"/>
      <c r="F232" s="30"/>
      <c r="G232" s="30"/>
      <c r="H232" s="30"/>
    </row>
    <row r="233" spans="2:8" x14ac:dyDescent="0.25">
      <c r="B233" s="30"/>
      <c r="C233" s="36"/>
      <c r="D233" s="35"/>
      <c r="E233" s="30"/>
      <c r="F233" s="30"/>
      <c r="G233" s="30"/>
      <c r="H233" s="30"/>
    </row>
    <row r="234" spans="2:8" x14ac:dyDescent="0.25">
      <c r="B234" s="30"/>
      <c r="C234" s="36"/>
      <c r="D234" s="35"/>
      <c r="E234" s="30"/>
      <c r="F234" s="30"/>
      <c r="G234" s="30"/>
      <c r="H234" s="30"/>
    </row>
    <row r="235" spans="2:8" x14ac:dyDescent="0.25">
      <c r="B235" s="30"/>
      <c r="C235" s="36"/>
      <c r="D235" s="35"/>
      <c r="E235" s="30"/>
      <c r="F235" s="30"/>
      <c r="G235" s="30"/>
      <c r="H235" s="30"/>
    </row>
    <row r="236" spans="2:8" x14ac:dyDescent="0.25">
      <c r="B236" s="30"/>
      <c r="C236" s="36"/>
      <c r="D236" s="35"/>
      <c r="E236" s="30"/>
      <c r="F236" s="30"/>
      <c r="G236" s="30"/>
      <c r="H236" s="30"/>
    </row>
    <row r="237" spans="2:8" x14ac:dyDescent="0.25">
      <c r="B237" s="30"/>
      <c r="C237" s="36"/>
      <c r="D237" s="35"/>
      <c r="E237" s="30"/>
      <c r="F237" s="30"/>
      <c r="G237" s="30"/>
      <c r="H237" s="30"/>
    </row>
    <row r="238" spans="2:8" x14ac:dyDescent="0.25">
      <c r="B238" s="30"/>
      <c r="C238" s="36"/>
      <c r="D238" s="35"/>
      <c r="E238" s="30"/>
      <c r="F238" s="30"/>
      <c r="G238" s="30"/>
      <c r="H238" s="30"/>
    </row>
    <row r="239" spans="2:8" x14ac:dyDescent="0.25">
      <c r="B239" s="30"/>
      <c r="C239" s="36"/>
      <c r="D239" s="35"/>
      <c r="E239" s="30"/>
      <c r="F239" s="30"/>
      <c r="G239" s="30"/>
      <c r="H239" s="30"/>
    </row>
    <row r="240" spans="2:8" x14ac:dyDescent="0.25">
      <c r="B240" s="30"/>
      <c r="C240" s="36"/>
      <c r="D240" s="35"/>
      <c r="E240" s="30"/>
      <c r="F240" s="30"/>
      <c r="G240" s="30"/>
      <c r="H240" s="30"/>
    </row>
    <row r="241" spans="2:8" x14ac:dyDescent="0.25">
      <c r="B241" s="30"/>
      <c r="C241" s="36"/>
      <c r="D241" s="35"/>
      <c r="E241" s="30"/>
      <c r="F241" s="30"/>
      <c r="G241" s="30"/>
      <c r="H241" s="30"/>
    </row>
    <row r="242" spans="2:8" x14ac:dyDescent="0.25">
      <c r="B242" s="30"/>
      <c r="C242" s="36"/>
      <c r="D242" s="35"/>
      <c r="E242" s="30"/>
      <c r="F242" s="30"/>
      <c r="G242" s="30"/>
      <c r="H242" s="30"/>
    </row>
    <row r="243" spans="2:8" x14ac:dyDescent="0.25">
      <c r="B243" s="30"/>
      <c r="C243" s="36"/>
      <c r="D243" s="35"/>
      <c r="E243" s="30"/>
      <c r="F243" s="30"/>
      <c r="G243" s="30"/>
      <c r="H243" s="30"/>
    </row>
    <row r="244" spans="2:8" x14ac:dyDescent="0.25">
      <c r="B244" s="30"/>
      <c r="C244" s="36"/>
      <c r="D244" s="35"/>
      <c r="E244" s="30"/>
      <c r="F244" s="30"/>
      <c r="G244" s="30"/>
      <c r="H244" s="30"/>
    </row>
    <row r="245" spans="2:8" x14ac:dyDescent="0.25">
      <c r="B245" s="30"/>
      <c r="C245" s="36"/>
      <c r="D245" s="35"/>
      <c r="E245" s="30"/>
      <c r="F245" s="30"/>
      <c r="G245" s="30"/>
      <c r="H245" s="30"/>
    </row>
    <row r="246" spans="2:8" x14ac:dyDescent="0.25">
      <c r="B246" s="30"/>
      <c r="C246" s="36"/>
      <c r="D246" s="35"/>
      <c r="E246" s="30"/>
      <c r="F246" s="30"/>
      <c r="G246" s="30"/>
      <c r="H246" s="30"/>
    </row>
    <row r="247" spans="2:8" x14ac:dyDescent="0.25">
      <c r="B247" s="30"/>
      <c r="C247" s="36"/>
      <c r="D247" s="35"/>
      <c r="E247" s="30"/>
      <c r="F247" s="30"/>
      <c r="G247" s="30"/>
      <c r="H247" s="30"/>
    </row>
    <row r="248" spans="2:8" x14ac:dyDescent="0.25">
      <c r="B248" s="30"/>
      <c r="C248" s="36"/>
      <c r="D248" s="35"/>
      <c r="E248" s="30"/>
      <c r="F248" s="30"/>
      <c r="G248" s="30"/>
      <c r="H248" s="30"/>
    </row>
    <row r="249" spans="2:8" x14ac:dyDescent="0.25">
      <c r="B249" s="30"/>
      <c r="C249" s="36"/>
      <c r="D249" s="35"/>
      <c r="E249" s="30"/>
      <c r="F249" s="30"/>
      <c r="G249" s="30"/>
      <c r="H249" s="30"/>
    </row>
    <row r="250" spans="2:8" x14ac:dyDescent="0.25">
      <c r="B250" s="30"/>
      <c r="C250" s="36"/>
      <c r="D250" s="35"/>
      <c r="E250" s="30"/>
      <c r="F250" s="30"/>
      <c r="G250" s="30"/>
      <c r="H250" s="30"/>
    </row>
    <row r="251" spans="2:8" x14ac:dyDescent="0.25">
      <c r="B251" s="30"/>
      <c r="C251" s="36"/>
      <c r="D251" s="35"/>
      <c r="E251" s="30"/>
      <c r="F251" s="30"/>
      <c r="G251" s="30"/>
      <c r="H251" s="30"/>
    </row>
    <row r="252" spans="2:8" x14ac:dyDescent="0.25">
      <c r="B252" s="30"/>
      <c r="C252" s="36"/>
      <c r="D252" s="35"/>
      <c r="E252" s="30"/>
      <c r="F252" s="30"/>
      <c r="G252" s="30"/>
      <c r="H252" s="30"/>
    </row>
    <row r="253" spans="2:8" x14ac:dyDescent="0.25">
      <c r="B253" s="30"/>
      <c r="C253" s="36"/>
      <c r="D253" s="35"/>
      <c r="E253" s="30"/>
      <c r="F253" s="30"/>
      <c r="G253" s="30"/>
      <c r="H253" s="30"/>
    </row>
    <row r="254" spans="2:8" x14ac:dyDescent="0.25">
      <c r="B254" s="30"/>
      <c r="C254" s="36"/>
      <c r="D254" s="35"/>
      <c r="E254" s="30"/>
      <c r="F254" s="30"/>
      <c r="G254" s="30"/>
      <c r="H254" s="30"/>
    </row>
    <row r="255" spans="2:8" x14ac:dyDescent="0.25">
      <c r="B255" s="30"/>
      <c r="C255" s="36"/>
      <c r="D255" s="35"/>
      <c r="E255" s="30"/>
      <c r="F255" s="30"/>
      <c r="G255" s="30"/>
      <c r="H255" s="30"/>
    </row>
    <row r="256" spans="2:8" x14ac:dyDescent="0.25">
      <c r="B256" s="30"/>
      <c r="C256" s="36"/>
      <c r="D256" s="35"/>
      <c r="E256" s="30"/>
      <c r="F256" s="30"/>
      <c r="G256" s="30"/>
      <c r="H256" s="30"/>
    </row>
    <row r="257" spans="2:8" x14ac:dyDescent="0.25">
      <c r="B257" s="30"/>
      <c r="C257" s="36"/>
      <c r="D257" s="35"/>
      <c r="E257" s="30"/>
      <c r="F257" s="30"/>
      <c r="G257" s="30"/>
      <c r="H257" s="30"/>
    </row>
    <row r="258" spans="2:8" x14ac:dyDescent="0.25">
      <c r="B258" s="30"/>
      <c r="C258" s="36"/>
      <c r="D258" s="35"/>
      <c r="E258" s="30"/>
      <c r="F258" s="30"/>
      <c r="G258" s="30"/>
      <c r="H258" s="30"/>
    </row>
    <row r="259" spans="2:8" x14ac:dyDescent="0.25">
      <c r="B259" s="30"/>
      <c r="C259" s="36"/>
      <c r="D259" s="35"/>
      <c r="E259" s="30"/>
      <c r="F259" s="30"/>
      <c r="G259" s="30"/>
      <c r="H259" s="30"/>
    </row>
    <row r="260" spans="2:8" x14ac:dyDescent="0.25">
      <c r="B260" s="30"/>
      <c r="C260" s="36"/>
      <c r="D260" s="35"/>
      <c r="E260" s="30"/>
      <c r="F260" s="30"/>
      <c r="G260" s="30"/>
      <c r="H260" s="30"/>
    </row>
    <row r="261" spans="2:8" x14ac:dyDescent="0.25">
      <c r="B261" s="30"/>
      <c r="C261" s="36"/>
      <c r="D261" s="35"/>
      <c r="E261" s="30"/>
      <c r="F261" s="30"/>
      <c r="G261" s="30"/>
      <c r="H261" s="30"/>
    </row>
    <row r="262" spans="2:8" x14ac:dyDescent="0.25">
      <c r="B262" s="30"/>
      <c r="C262" s="36"/>
      <c r="D262" s="35"/>
      <c r="E262" s="30"/>
      <c r="F262" s="30"/>
      <c r="G262" s="30"/>
      <c r="H262" s="30"/>
    </row>
    <row r="263" spans="2:8" x14ac:dyDescent="0.25">
      <c r="B263" s="30"/>
      <c r="C263" s="36"/>
      <c r="D263" s="35"/>
      <c r="E263" s="30"/>
      <c r="F263" s="30"/>
      <c r="G263" s="30"/>
      <c r="H263" s="30"/>
    </row>
    <row r="264" spans="2:8" x14ac:dyDescent="0.25">
      <c r="B264" s="30"/>
      <c r="C264" s="36"/>
      <c r="D264" s="35"/>
      <c r="E264" s="30"/>
      <c r="F264" s="30"/>
      <c r="G264" s="30"/>
      <c r="H264" s="30"/>
    </row>
    <row r="265" spans="2:8" x14ac:dyDescent="0.25">
      <c r="B265" s="30"/>
      <c r="C265" s="36"/>
      <c r="D265" s="35"/>
      <c r="E265" s="30"/>
      <c r="F265" s="30"/>
      <c r="G265" s="30"/>
      <c r="H265" s="30"/>
    </row>
    <row r="266" spans="2:8" x14ac:dyDescent="0.25">
      <c r="B266" s="30"/>
      <c r="C266" s="36"/>
      <c r="D266" s="35"/>
      <c r="E266" s="30"/>
      <c r="F266" s="30"/>
      <c r="G266" s="30"/>
      <c r="H266" s="30"/>
    </row>
    <row r="267" spans="2:8" x14ac:dyDescent="0.25">
      <c r="B267" s="30"/>
      <c r="C267" s="36"/>
      <c r="D267" s="35"/>
      <c r="E267" s="30"/>
      <c r="F267" s="30"/>
      <c r="G267" s="30"/>
      <c r="H267" s="30"/>
    </row>
    <row r="268" spans="2:8" x14ac:dyDescent="0.25">
      <c r="B268" s="30"/>
      <c r="C268" s="36"/>
      <c r="D268" s="35"/>
      <c r="E268" s="30"/>
      <c r="F268" s="30"/>
      <c r="G268" s="30"/>
      <c r="H268" s="30"/>
    </row>
    <row r="269" spans="2:8" x14ac:dyDescent="0.25">
      <c r="B269" s="30"/>
      <c r="C269" s="36"/>
      <c r="D269" s="35"/>
      <c r="E269" s="30"/>
      <c r="F269" s="30"/>
      <c r="G269" s="30"/>
      <c r="H269" s="30"/>
    </row>
    <row r="270" spans="2:8" x14ac:dyDescent="0.25">
      <c r="B270" s="30"/>
      <c r="C270" s="36"/>
      <c r="D270" s="35"/>
      <c r="E270" s="30"/>
      <c r="F270" s="30"/>
      <c r="G270" s="30"/>
      <c r="H270" s="30"/>
    </row>
    <row r="271" spans="2:8" x14ac:dyDescent="0.25">
      <c r="B271" s="30"/>
      <c r="C271" s="36"/>
      <c r="D271" s="35"/>
      <c r="E271" s="30"/>
      <c r="F271" s="30"/>
      <c r="G271" s="30"/>
      <c r="H271" s="30"/>
    </row>
    <row r="272" spans="2:8" x14ac:dyDescent="0.25">
      <c r="B272" s="30"/>
      <c r="C272" s="36"/>
      <c r="D272" s="35"/>
      <c r="E272" s="30"/>
      <c r="F272" s="30"/>
      <c r="G272" s="30"/>
      <c r="H272" s="30"/>
    </row>
    <row r="273" spans="2:8" x14ac:dyDescent="0.25">
      <c r="B273" s="30"/>
      <c r="C273" s="36"/>
      <c r="D273" s="35"/>
      <c r="E273" s="30"/>
      <c r="F273" s="30"/>
      <c r="G273" s="30"/>
      <c r="H273" s="30"/>
    </row>
    <row r="274" spans="2:8" x14ac:dyDescent="0.25">
      <c r="B274" s="30"/>
      <c r="C274" s="36"/>
      <c r="D274" s="35"/>
      <c r="E274" s="30"/>
      <c r="F274" s="30"/>
      <c r="G274" s="30"/>
      <c r="H274" s="30"/>
    </row>
    <row r="275" spans="2:8" x14ac:dyDescent="0.25">
      <c r="B275" s="30"/>
      <c r="C275" s="36"/>
      <c r="D275" s="35"/>
      <c r="E275" s="30"/>
      <c r="F275" s="30"/>
      <c r="G275" s="30"/>
      <c r="H275" s="30"/>
    </row>
    <row r="276" spans="2:8" x14ac:dyDescent="0.25">
      <c r="B276" s="30"/>
      <c r="C276" s="36"/>
      <c r="D276" s="35"/>
      <c r="E276" s="30"/>
      <c r="F276" s="30"/>
      <c r="G276" s="30"/>
      <c r="H276" s="30"/>
    </row>
    <row r="277" spans="2:8" x14ac:dyDescent="0.25">
      <c r="B277" s="30"/>
      <c r="C277" s="36"/>
      <c r="D277" s="35"/>
      <c r="E277" s="30"/>
      <c r="F277" s="30"/>
      <c r="G277" s="30"/>
      <c r="H277" s="30"/>
    </row>
    <row r="278" spans="2:8" x14ac:dyDescent="0.25">
      <c r="B278" s="30"/>
      <c r="C278" s="36"/>
      <c r="D278" s="35"/>
      <c r="E278" s="30"/>
      <c r="F278" s="30"/>
      <c r="G278" s="30"/>
      <c r="H278" s="30"/>
    </row>
    <row r="279" spans="2:8" x14ac:dyDescent="0.25">
      <c r="B279" s="30"/>
      <c r="C279" s="36"/>
      <c r="D279" s="35"/>
      <c r="E279" s="30"/>
      <c r="F279" s="30"/>
      <c r="G279" s="30"/>
      <c r="H279" s="30"/>
    </row>
    <row r="280" spans="2:8" x14ac:dyDescent="0.25">
      <c r="B280" s="30"/>
      <c r="C280" s="36"/>
      <c r="D280" s="35"/>
      <c r="E280" s="30"/>
      <c r="F280" s="30"/>
      <c r="G280" s="30"/>
      <c r="H280" s="30"/>
    </row>
    <row r="281" spans="2:8" x14ac:dyDescent="0.25">
      <c r="B281" s="30"/>
      <c r="C281" s="36"/>
      <c r="D281" s="35"/>
      <c r="E281" s="30"/>
      <c r="F281" s="30"/>
      <c r="G281" s="30"/>
      <c r="H281" s="30"/>
    </row>
    <row r="282" spans="2:8" x14ac:dyDescent="0.25">
      <c r="B282" s="30"/>
      <c r="C282" s="36"/>
      <c r="D282" s="35"/>
      <c r="E282" s="30"/>
      <c r="F282" s="30"/>
      <c r="G282" s="30"/>
      <c r="H282" s="30"/>
    </row>
    <row r="283" spans="2:8" x14ac:dyDescent="0.25">
      <c r="B283" s="30"/>
      <c r="C283" s="36"/>
      <c r="D283" s="35"/>
      <c r="E283" s="30"/>
      <c r="F283" s="30"/>
      <c r="G283" s="30"/>
      <c r="H283" s="30"/>
    </row>
    <row r="284" spans="2:8" x14ac:dyDescent="0.25">
      <c r="B284" s="30"/>
      <c r="C284" s="36"/>
      <c r="D284" s="35"/>
      <c r="E284" s="30"/>
      <c r="F284" s="30"/>
      <c r="G284" s="30"/>
      <c r="H284" s="30"/>
    </row>
    <row r="285" spans="2:8" x14ac:dyDescent="0.25">
      <c r="B285" s="30"/>
      <c r="C285" s="36"/>
      <c r="D285" s="35"/>
      <c r="E285" s="30"/>
      <c r="F285" s="30"/>
      <c r="G285" s="30"/>
      <c r="H285" s="30"/>
    </row>
    <row r="286" spans="2:8" x14ac:dyDescent="0.25">
      <c r="B286" s="30"/>
      <c r="C286" s="36"/>
      <c r="D286" s="35"/>
      <c r="E286" s="30"/>
      <c r="F286" s="30"/>
      <c r="G286" s="30"/>
      <c r="H286" s="30"/>
    </row>
    <row r="287" spans="2:8" x14ac:dyDescent="0.25">
      <c r="B287" s="30"/>
      <c r="C287" s="36"/>
      <c r="D287" s="35"/>
      <c r="E287" s="30"/>
      <c r="F287" s="30"/>
      <c r="G287" s="30"/>
      <c r="H287" s="30"/>
    </row>
    <row r="288" spans="2:8" x14ac:dyDescent="0.25">
      <c r="B288" s="30"/>
      <c r="C288" s="36"/>
      <c r="D288" s="35"/>
      <c r="E288" s="30"/>
      <c r="F288" s="30"/>
      <c r="G288" s="30"/>
      <c r="H288" s="30"/>
    </row>
    <row r="289" spans="2:8" x14ac:dyDescent="0.25">
      <c r="B289" s="30"/>
      <c r="C289" s="36"/>
      <c r="D289" s="35"/>
      <c r="E289" s="30"/>
      <c r="F289" s="30"/>
      <c r="G289" s="30"/>
      <c r="H289" s="30"/>
    </row>
    <row r="290" spans="2:8" x14ac:dyDescent="0.25">
      <c r="B290" s="30"/>
      <c r="C290" s="36"/>
      <c r="D290" s="35"/>
      <c r="E290" s="30"/>
      <c r="F290" s="30"/>
      <c r="G290" s="30"/>
      <c r="H290" s="30"/>
    </row>
    <row r="291" spans="2:8" x14ac:dyDescent="0.25">
      <c r="B291" s="30"/>
      <c r="C291" s="36"/>
      <c r="D291" s="35"/>
      <c r="E291" s="30"/>
      <c r="F291" s="30"/>
      <c r="G291" s="30"/>
      <c r="H291" s="30"/>
    </row>
    <row r="292" spans="2:8" x14ac:dyDescent="0.25">
      <c r="B292" s="30"/>
      <c r="C292" s="36"/>
      <c r="D292" s="35"/>
      <c r="E292" s="30"/>
      <c r="F292" s="30"/>
      <c r="G292" s="30"/>
      <c r="H292" s="30"/>
    </row>
    <row r="293" spans="2:8" x14ac:dyDescent="0.25">
      <c r="B293" s="30"/>
      <c r="C293" s="36"/>
      <c r="D293" s="35"/>
      <c r="E293" s="30"/>
      <c r="F293" s="30"/>
      <c r="G293" s="30"/>
      <c r="H293" s="30"/>
    </row>
    <row r="294" spans="2:8" x14ac:dyDescent="0.25">
      <c r="B294" s="30"/>
      <c r="C294" s="36"/>
      <c r="D294" s="35"/>
      <c r="E294" s="30"/>
      <c r="F294" s="30"/>
      <c r="G294" s="30"/>
      <c r="H294" s="30"/>
    </row>
    <row r="295" spans="2:8" x14ac:dyDescent="0.25">
      <c r="B295" s="30"/>
      <c r="C295" s="36"/>
      <c r="D295" s="35"/>
      <c r="E295" s="30"/>
      <c r="F295" s="30"/>
      <c r="G295" s="30"/>
      <c r="H295" s="30"/>
    </row>
    <row r="296" spans="2:8" x14ac:dyDescent="0.25">
      <c r="B296" s="30"/>
      <c r="C296" s="36"/>
      <c r="D296" s="35"/>
      <c r="E296" s="30"/>
      <c r="F296" s="30"/>
      <c r="G296" s="30"/>
      <c r="H296" s="30"/>
    </row>
    <row r="297" spans="2:8" x14ac:dyDescent="0.25">
      <c r="B297" s="30"/>
      <c r="C297" s="36"/>
      <c r="D297" s="35"/>
      <c r="E297" s="30"/>
      <c r="F297" s="30"/>
      <c r="G297" s="30"/>
      <c r="H297" s="30"/>
    </row>
    <row r="298" spans="2:8" x14ac:dyDescent="0.25">
      <c r="B298" s="30"/>
      <c r="C298" s="36"/>
      <c r="D298" s="35"/>
      <c r="E298" s="30"/>
      <c r="F298" s="30"/>
      <c r="G298" s="30"/>
      <c r="H298" s="30"/>
    </row>
    <row r="299" spans="2:8" x14ac:dyDescent="0.25">
      <c r="B299" s="30"/>
      <c r="C299" s="36"/>
      <c r="D299" s="35"/>
      <c r="E299" s="30"/>
      <c r="F299" s="30"/>
      <c r="G299" s="30"/>
      <c r="H299" s="30"/>
    </row>
    <row r="300" spans="2:8" x14ac:dyDescent="0.25">
      <c r="B300" s="30"/>
      <c r="C300" s="36"/>
      <c r="D300" s="35"/>
      <c r="E300" s="30"/>
      <c r="F300" s="30"/>
      <c r="G300" s="30"/>
      <c r="H300" s="30"/>
    </row>
    <row r="301" spans="2:8" x14ac:dyDescent="0.25">
      <c r="B301" s="30"/>
      <c r="C301" s="36"/>
      <c r="D301" s="35"/>
      <c r="E301" s="30"/>
      <c r="F301" s="30"/>
      <c r="G301" s="30"/>
      <c r="H301" s="30"/>
    </row>
    <row r="302" spans="2:8" x14ac:dyDescent="0.25">
      <c r="B302" s="30"/>
      <c r="C302" s="36"/>
      <c r="D302" s="35"/>
      <c r="E302" s="30"/>
      <c r="F302" s="30"/>
      <c r="G302" s="30"/>
      <c r="H302" s="30"/>
    </row>
    <row r="303" spans="2:8" x14ac:dyDescent="0.25">
      <c r="B303" s="30"/>
      <c r="C303" s="36"/>
      <c r="D303" s="35"/>
      <c r="E303" s="30"/>
      <c r="F303" s="30"/>
      <c r="G303" s="30"/>
      <c r="H303" s="30"/>
    </row>
    <row r="304" spans="2:8" x14ac:dyDescent="0.25">
      <c r="B304" s="30"/>
      <c r="C304" s="36"/>
      <c r="D304" s="35"/>
      <c r="E304" s="30"/>
      <c r="F304" s="30"/>
      <c r="G304" s="30"/>
      <c r="H304" s="30"/>
    </row>
    <row r="305" spans="2:8" x14ac:dyDescent="0.25">
      <c r="B305" s="30"/>
      <c r="C305" s="36"/>
      <c r="D305" s="35"/>
      <c r="E305" s="30"/>
      <c r="F305" s="30"/>
      <c r="G305" s="30"/>
      <c r="H305" s="30"/>
    </row>
    <row r="306" spans="2:8" x14ac:dyDescent="0.25">
      <c r="B306" s="30"/>
      <c r="C306" s="36"/>
      <c r="D306" s="35"/>
      <c r="E306" s="30"/>
      <c r="F306" s="30"/>
      <c r="G306" s="30"/>
      <c r="H306" s="30"/>
    </row>
    <row r="307" spans="2:8" x14ac:dyDescent="0.25">
      <c r="B307" s="30"/>
      <c r="C307" s="36"/>
      <c r="D307" s="35"/>
      <c r="E307" s="30"/>
      <c r="F307" s="30"/>
      <c r="G307" s="30"/>
      <c r="H307" s="30"/>
    </row>
    <row r="308" spans="2:8" x14ac:dyDescent="0.25">
      <c r="B308" s="30"/>
      <c r="C308" s="36"/>
      <c r="D308" s="35"/>
      <c r="E308" s="30"/>
      <c r="F308" s="30"/>
      <c r="G308" s="30"/>
      <c r="H308" s="30"/>
    </row>
    <row r="309" spans="2:8" x14ac:dyDescent="0.25">
      <c r="B309" s="30"/>
      <c r="C309" s="36"/>
      <c r="D309" s="35"/>
      <c r="E309" s="30"/>
      <c r="F309" s="30"/>
      <c r="G309" s="30"/>
      <c r="H309" s="30"/>
    </row>
    <row r="310" spans="2:8" x14ac:dyDescent="0.25">
      <c r="B310" s="30"/>
      <c r="C310" s="36"/>
      <c r="D310" s="35"/>
      <c r="E310" s="30"/>
      <c r="F310" s="30"/>
      <c r="G310" s="30"/>
      <c r="H310" s="30"/>
    </row>
    <row r="311" spans="2:8" x14ac:dyDescent="0.25">
      <c r="B311" s="30"/>
      <c r="C311" s="36"/>
      <c r="D311" s="35"/>
      <c r="E311" s="30"/>
      <c r="F311" s="30"/>
      <c r="G311" s="30"/>
      <c r="H311" s="30"/>
    </row>
    <row r="312" spans="2:8" x14ac:dyDescent="0.25">
      <c r="B312" s="30"/>
      <c r="C312" s="36"/>
      <c r="D312" s="35"/>
      <c r="E312" s="30"/>
      <c r="F312" s="30"/>
      <c r="G312" s="30"/>
      <c r="H312" s="30"/>
    </row>
    <row r="313" spans="2:8" x14ac:dyDescent="0.25">
      <c r="B313" s="30"/>
      <c r="C313" s="36"/>
      <c r="D313" s="35"/>
      <c r="E313" s="30"/>
      <c r="F313" s="30"/>
      <c r="G313" s="30"/>
      <c r="H313" s="30"/>
    </row>
    <row r="314" spans="2:8" x14ac:dyDescent="0.25">
      <c r="B314" s="30"/>
      <c r="C314" s="36"/>
      <c r="D314" s="35"/>
      <c r="E314" s="30"/>
      <c r="F314" s="30"/>
      <c r="G314" s="30"/>
      <c r="H314" s="30"/>
    </row>
    <row r="315" spans="2:8" x14ac:dyDescent="0.25">
      <c r="B315" s="30"/>
      <c r="C315" s="36"/>
      <c r="D315" s="35"/>
      <c r="E315" s="30"/>
      <c r="F315" s="30"/>
      <c r="G315" s="30"/>
      <c r="H315" s="30"/>
    </row>
    <row r="316" spans="2:8" x14ac:dyDescent="0.25">
      <c r="B316" s="30"/>
      <c r="C316" s="36"/>
      <c r="D316" s="35"/>
      <c r="E316" s="30"/>
      <c r="F316" s="30"/>
      <c r="G316" s="30"/>
      <c r="H316" s="30"/>
    </row>
    <row r="317" spans="2:8" x14ac:dyDescent="0.25">
      <c r="B317" s="30"/>
      <c r="C317" s="36"/>
      <c r="D317" s="35"/>
      <c r="E317" s="30"/>
      <c r="F317" s="30"/>
      <c r="G317" s="30"/>
      <c r="H317" s="30"/>
    </row>
    <row r="318" spans="2:8" x14ac:dyDescent="0.25">
      <c r="B318" s="30"/>
      <c r="C318" s="36"/>
      <c r="D318" s="35"/>
      <c r="E318" s="30"/>
      <c r="F318" s="30"/>
      <c r="G318" s="30"/>
      <c r="H318" s="30"/>
    </row>
    <row r="319" spans="2:8" x14ac:dyDescent="0.25">
      <c r="B319" s="30"/>
      <c r="C319" s="36"/>
      <c r="D319" s="35"/>
      <c r="E319" s="30"/>
      <c r="F319" s="30"/>
      <c r="G319" s="30"/>
      <c r="H319" s="30"/>
    </row>
    <row r="320" spans="2:8" x14ac:dyDescent="0.25">
      <c r="B320" s="30"/>
      <c r="C320" s="36"/>
      <c r="D320" s="35"/>
      <c r="E320" s="30"/>
      <c r="F320" s="30"/>
      <c r="G320" s="30"/>
      <c r="H320" s="30"/>
    </row>
    <row r="321" spans="2:8" x14ac:dyDescent="0.25">
      <c r="B321" s="30"/>
      <c r="C321" s="36"/>
      <c r="D321" s="35"/>
      <c r="E321" s="30"/>
      <c r="F321" s="30"/>
      <c r="G321" s="30"/>
      <c r="H321" s="30"/>
    </row>
    <row r="322" spans="2:8" x14ac:dyDescent="0.25">
      <c r="B322" s="30"/>
      <c r="C322" s="36"/>
      <c r="D322" s="35"/>
      <c r="E322" s="30"/>
      <c r="F322" s="30"/>
      <c r="G322" s="30"/>
      <c r="H322" s="30"/>
    </row>
    <row r="323" spans="2:8" x14ac:dyDescent="0.25">
      <c r="B323" s="30"/>
      <c r="C323" s="36"/>
      <c r="D323" s="35"/>
      <c r="E323" s="30"/>
      <c r="F323" s="30"/>
      <c r="G323" s="30"/>
      <c r="H323" s="30"/>
    </row>
    <row r="324" spans="2:8" x14ac:dyDescent="0.25">
      <c r="B324" s="30"/>
      <c r="C324" s="36"/>
      <c r="D324" s="35"/>
      <c r="E324" s="30"/>
      <c r="F324" s="30"/>
      <c r="G324" s="30"/>
      <c r="H324" s="30"/>
    </row>
    <row r="325" spans="2:8" x14ac:dyDescent="0.25">
      <c r="B325" s="30"/>
      <c r="C325" s="36"/>
      <c r="D325" s="35"/>
      <c r="E325" s="30"/>
      <c r="F325" s="30"/>
      <c r="G325" s="30"/>
      <c r="H325" s="30"/>
    </row>
    <row r="326" spans="2:8" x14ac:dyDescent="0.25">
      <c r="B326" s="30"/>
      <c r="C326" s="36"/>
      <c r="D326" s="35"/>
      <c r="E326" s="30"/>
      <c r="F326" s="30"/>
      <c r="G326" s="30"/>
      <c r="H326" s="30"/>
    </row>
    <row r="327" spans="2:8" x14ac:dyDescent="0.25">
      <c r="B327" s="30"/>
      <c r="C327" s="36"/>
      <c r="D327" s="35"/>
      <c r="E327" s="30"/>
      <c r="F327" s="30"/>
      <c r="G327" s="30"/>
      <c r="H327" s="30"/>
    </row>
    <row r="328" spans="2:8" x14ac:dyDescent="0.25">
      <c r="B328" s="30"/>
      <c r="C328" s="36"/>
      <c r="D328" s="35"/>
      <c r="E328" s="30"/>
      <c r="F328" s="30"/>
      <c r="G328" s="30"/>
      <c r="H328" s="30"/>
    </row>
    <row r="329" spans="2:8" x14ac:dyDescent="0.25">
      <c r="B329" s="30"/>
      <c r="C329" s="36"/>
      <c r="D329" s="35"/>
      <c r="E329" s="30"/>
      <c r="F329" s="30"/>
      <c r="G329" s="30"/>
      <c r="H329" s="30"/>
    </row>
    <row r="330" spans="2:8" x14ac:dyDescent="0.25">
      <c r="B330" s="30"/>
      <c r="C330" s="36"/>
      <c r="D330" s="35"/>
      <c r="E330" s="30"/>
      <c r="F330" s="30"/>
      <c r="G330" s="30"/>
      <c r="H330" s="30"/>
    </row>
    <row r="331" spans="2:8" x14ac:dyDescent="0.25">
      <c r="B331" s="30"/>
      <c r="C331" s="36"/>
      <c r="D331" s="35"/>
      <c r="E331" s="30"/>
      <c r="F331" s="30"/>
      <c r="G331" s="30"/>
      <c r="H331" s="30"/>
    </row>
    <row r="332" spans="2:8" x14ac:dyDescent="0.25">
      <c r="B332" s="30"/>
      <c r="C332" s="36"/>
      <c r="D332" s="35"/>
      <c r="E332" s="30"/>
      <c r="F332" s="30"/>
      <c r="G332" s="30"/>
      <c r="H332" s="30"/>
    </row>
    <row r="333" spans="2:8" x14ac:dyDescent="0.25">
      <c r="B333" s="30"/>
      <c r="C333" s="36"/>
      <c r="D333" s="35"/>
      <c r="E333" s="30"/>
      <c r="F333" s="30"/>
      <c r="G333" s="30"/>
      <c r="H333" s="30"/>
    </row>
    <row r="334" spans="2:8" x14ac:dyDescent="0.25">
      <c r="B334" s="30"/>
      <c r="C334" s="36"/>
      <c r="D334" s="35"/>
      <c r="E334" s="30"/>
      <c r="F334" s="30"/>
      <c r="G334" s="30"/>
      <c r="H334" s="30"/>
    </row>
    <row r="335" spans="2:8" x14ac:dyDescent="0.25">
      <c r="B335" s="30"/>
      <c r="C335" s="36"/>
      <c r="D335" s="35"/>
      <c r="E335" s="30"/>
      <c r="F335" s="30"/>
      <c r="G335" s="30"/>
      <c r="H335" s="30"/>
    </row>
    <row r="336" spans="2:8" x14ac:dyDescent="0.25">
      <c r="B336" s="30"/>
      <c r="C336" s="36"/>
      <c r="D336" s="35"/>
      <c r="E336" s="30"/>
      <c r="F336" s="30"/>
      <c r="G336" s="30"/>
      <c r="H336" s="30"/>
    </row>
    <row r="337" spans="2:8" x14ac:dyDescent="0.25">
      <c r="B337" s="30"/>
      <c r="C337" s="36"/>
      <c r="D337" s="35"/>
      <c r="E337" s="30"/>
      <c r="F337" s="30"/>
      <c r="G337" s="30"/>
      <c r="H337" s="30"/>
    </row>
    <row r="338" spans="2:8" x14ac:dyDescent="0.25">
      <c r="B338" s="30"/>
      <c r="C338" s="36"/>
      <c r="D338" s="35"/>
      <c r="E338" s="30"/>
      <c r="F338" s="30"/>
      <c r="G338" s="30"/>
      <c r="H338" s="30"/>
    </row>
    <row r="339" spans="2:8" x14ac:dyDescent="0.25">
      <c r="B339" s="30"/>
      <c r="C339" s="36"/>
      <c r="D339" s="35"/>
      <c r="E339" s="30"/>
      <c r="F339" s="30"/>
      <c r="G339" s="30"/>
      <c r="H339" s="30"/>
    </row>
    <row r="340" spans="2:8" x14ac:dyDescent="0.25">
      <c r="B340" s="30"/>
      <c r="C340" s="36"/>
      <c r="D340" s="35"/>
      <c r="E340" s="30"/>
      <c r="F340" s="30"/>
      <c r="G340" s="30"/>
      <c r="H340" s="30"/>
    </row>
    <row r="341" spans="2:8" x14ac:dyDescent="0.25">
      <c r="B341" s="30"/>
      <c r="C341" s="36"/>
      <c r="D341" s="35"/>
      <c r="E341" s="30"/>
      <c r="F341" s="30"/>
      <c r="G341" s="30"/>
      <c r="H341" s="30"/>
    </row>
    <row r="342" spans="2:8" x14ac:dyDescent="0.25">
      <c r="B342" s="30"/>
      <c r="C342" s="36"/>
      <c r="D342" s="35"/>
      <c r="E342" s="30"/>
      <c r="F342" s="30"/>
      <c r="G342" s="30"/>
      <c r="H342" s="30"/>
    </row>
    <row r="343" spans="2:8" x14ac:dyDescent="0.25">
      <c r="B343" s="30"/>
      <c r="C343" s="36"/>
      <c r="D343" s="35"/>
      <c r="E343" s="30"/>
      <c r="F343" s="30"/>
      <c r="G343" s="30"/>
      <c r="H343" s="30"/>
    </row>
    <row r="344" spans="2:8" x14ac:dyDescent="0.25">
      <c r="B344" s="30"/>
      <c r="C344" s="36"/>
      <c r="D344" s="35"/>
      <c r="E344" s="30"/>
      <c r="F344" s="30"/>
      <c r="G344" s="30"/>
      <c r="H344" s="30"/>
    </row>
    <row r="345" spans="2:8" x14ac:dyDescent="0.25">
      <c r="B345" s="30"/>
      <c r="C345" s="36"/>
      <c r="D345" s="35"/>
      <c r="E345" s="30"/>
      <c r="F345" s="30"/>
      <c r="G345" s="30"/>
      <c r="H345" s="30"/>
    </row>
    <row r="346" spans="2:8" x14ac:dyDescent="0.25">
      <c r="B346" s="30"/>
      <c r="C346" s="36"/>
      <c r="D346" s="35"/>
      <c r="E346" s="30"/>
      <c r="F346" s="30"/>
      <c r="G346" s="30"/>
      <c r="H346" s="30"/>
    </row>
    <row r="347" spans="2:8" x14ac:dyDescent="0.25">
      <c r="B347" s="30"/>
      <c r="C347" s="36"/>
      <c r="D347" s="35"/>
      <c r="E347" s="30"/>
      <c r="F347" s="30"/>
      <c r="G347" s="30"/>
      <c r="H347" s="30"/>
    </row>
    <row r="348" spans="2:8" x14ac:dyDescent="0.25">
      <c r="B348" s="30"/>
      <c r="C348" s="36"/>
      <c r="D348" s="35"/>
      <c r="E348" s="30"/>
      <c r="F348" s="30"/>
      <c r="G348" s="30"/>
      <c r="H348" s="30"/>
    </row>
    <row r="349" spans="2:8" x14ac:dyDescent="0.25">
      <c r="B349" s="30"/>
      <c r="C349" s="36"/>
      <c r="D349" s="35"/>
      <c r="E349" s="30"/>
      <c r="F349" s="30"/>
      <c r="G349" s="30"/>
      <c r="H349" s="30"/>
    </row>
    <row r="350" spans="2:8" x14ac:dyDescent="0.25">
      <c r="B350" s="30"/>
      <c r="C350" s="36"/>
      <c r="D350" s="35"/>
      <c r="E350" s="30"/>
      <c r="F350" s="30"/>
      <c r="G350" s="30"/>
      <c r="H350" s="30"/>
    </row>
    <row r="351" spans="2:8" x14ac:dyDescent="0.25">
      <c r="B351" s="30"/>
      <c r="C351" s="36"/>
      <c r="D351" s="35"/>
      <c r="E351" s="30"/>
      <c r="F351" s="30"/>
      <c r="G351" s="30"/>
      <c r="H351" s="30"/>
    </row>
    <row r="352" spans="2:8" x14ac:dyDescent="0.25">
      <c r="B352" s="30"/>
      <c r="C352" s="36"/>
      <c r="D352" s="35"/>
      <c r="E352" s="30"/>
      <c r="F352" s="30"/>
      <c r="G352" s="30"/>
      <c r="H352" s="30"/>
    </row>
    <row r="353" spans="2:8" x14ac:dyDescent="0.25">
      <c r="B353" s="30"/>
      <c r="C353" s="36"/>
      <c r="D353" s="35"/>
      <c r="E353" s="30"/>
      <c r="F353" s="30"/>
      <c r="G353" s="30"/>
      <c r="H353" s="30"/>
    </row>
    <row r="354" spans="2:8" x14ac:dyDescent="0.25">
      <c r="B354" s="30"/>
      <c r="C354" s="36"/>
      <c r="D354" s="35"/>
      <c r="E354" s="30"/>
      <c r="F354" s="30"/>
      <c r="G354" s="30"/>
      <c r="H354" s="30"/>
    </row>
    <row r="355" spans="2:8" x14ac:dyDescent="0.25">
      <c r="B355" s="30"/>
      <c r="C355" s="36"/>
      <c r="D355" s="35"/>
      <c r="E355" s="30"/>
      <c r="F355" s="30"/>
      <c r="G355" s="30"/>
      <c r="H355" s="30"/>
    </row>
    <row r="356" spans="2:8" x14ac:dyDescent="0.25">
      <c r="B356" s="30"/>
      <c r="C356" s="36"/>
      <c r="D356" s="35"/>
      <c r="E356" s="30"/>
      <c r="F356" s="30"/>
      <c r="G356" s="30"/>
      <c r="H356" s="30"/>
    </row>
    <row r="357" spans="2:8" x14ac:dyDescent="0.25">
      <c r="B357" s="30"/>
      <c r="C357" s="36"/>
      <c r="D357" s="35"/>
      <c r="E357" s="30"/>
      <c r="F357" s="30"/>
      <c r="G357" s="30"/>
      <c r="H357" s="30"/>
    </row>
    <row r="358" spans="2:8" x14ac:dyDescent="0.25">
      <c r="B358" s="30"/>
      <c r="C358" s="36"/>
      <c r="D358" s="35"/>
      <c r="E358" s="30"/>
      <c r="F358" s="30"/>
      <c r="G358" s="30"/>
      <c r="H358" s="30"/>
    </row>
    <row r="359" spans="2:8" x14ac:dyDescent="0.25">
      <c r="B359" s="30"/>
      <c r="C359" s="36"/>
      <c r="D359" s="35"/>
      <c r="E359" s="30"/>
      <c r="F359" s="30"/>
      <c r="G359" s="30"/>
      <c r="H359" s="30"/>
    </row>
    <row r="360" spans="2:8" x14ac:dyDescent="0.25">
      <c r="B360" s="30"/>
      <c r="C360" s="36"/>
      <c r="D360" s="35"/>
      <c r="E360" s="30"/>
      <c r="F360" s="30"/>
      <c r="G360" s="30"/>
      <c r="H360" s="30"/>
    </row>
    <row r="361" spans="2:8" x14ac:dyDescent="0.25">
      <c r="B361" s="30"/>
      <c r="C361" s="36"/>
      <c r="D361" s="35"/>
      <c r="E361" s="30"/>
      <c r="F361" s="30"/>
      <c r="G361" s="30"/>
      <c r="H361" s="30"/>
    </row>
    <row r="362" spans="2:8" x14ac:dyDescent="0.25">
      <c r="B362" s="30"/>
      <c r="C362" s="36"/>
      <c r="D362" s="35"/>
      <c r="E362" s="30"/>
      <c r="F362" s="30"/>
      <c r="G362" s="30"/>
      <c r="H362" s="30"/>
    </row>
    <row r="363" spans="2:8" x14ac:dyDescent="0.25">
      <c r="B363" s="30"/>
      <c r="C363" s="36"/>
      <c r="D363" s="35"/>
      <c r="E363" s="30"/>
      <c r="F363" s="30"/>
      <c r="G363" s="30"/>
      <c r="H363" s="30"/>
    </row>
    <row r="364" spans="2:8" x14ac:dyDescent="0.25">
      <c r="B364" s="30"/>
      <c r="C364" s="36"/>
      <c r="D364" s="35"/>
      <c r="E364" s="30"/>
      <c r="F364" s="30"/>
      <c r="G364" s="30"/>
      <c r="H364" s="30"/>
    </row>
    <row r="365" spans="2:8" x14ac:dyDescent="0.25">
      <c r="B365" s="30"/>
      <c r="C365" s="36"/>
      <c r="D365" s="35"/>
      <c r="E365" s="30"/>
      <c r="F365" s="30"/>
      <c r="G365" s="30"/>
      <c r="H365" s="30"/>
    </row>
    <row r="366" spans="2:8" x14ac:dyDescent="0.25">
      <c r="B366" s="30"/>
      <c r="C366" s="36"/>
      <c r="D366" s="35"/>
      <c r="E366" s="30"/>
      <c r="F366" s="30"/>
      <c r="G366" s="30"/>
      <c r="H366" s="30"/>
    </row>
    <row r="367" spans="2:8" x14ac:dyDescent="0.25">
      <c r="B367" s="30"/>
      <c r="C367" s="36"/>
      <c r="D367" s="35"/>
      <c r="E367" s="30"/>
      <c r="F367" s="30"/>
      <c r="G367" s="30"/>
      <c r="H367" s="30"/>
    </row>
    <row r="368" spans="2:8" x14ac:dyDescent="0.25">
      <c r="B368" s="30"/>
      <c r="C368" s="36"/>
      <c r="D368" s="35"/>
      <c r="E368" s="30"/>
      <c r="F368" s="30"/>
      <c r="G368" s="30"/>
      <c r="H368" s="30"/>
    </row>
    <row r="369" spans="2:8" x14ac:dyDescent="0.25">
      <c r="B369" s="30"/>
      <c r="C369" s="36"/>
      <c r="D369" s="35"/>
      <c r="E369" s="30"/>
      <c r="F369" s="30"/>
      <c r="G369" s="30"/>
      <c r="H369" s="30"/>
    </row>
    <row r="370" spans="2:8" x14ac:dyDescent="0.25">
      <c r="B370" s="30"/>
      <c r="C370" s="36"/>
      <c r="D370" s="35"/>
      <c r="E370" s="30"/>
      <c r="F370" s="30"/>
      <c r="G370" s="30"/>
      <c r="H370" s="30"/>
    </row>
    <row r="371" spans="2:8" x14ac:dyDescent="0.25">
      <c r="B371" s="30"/>
      <c r="C371" s="36"/>
      <c r="D371" s="35"/>
      <c r="E371" s="30"/>
      <c r="F371" s="30"/>
      <c r="G371" s="30"/>
      <c r="H371" s="30"/>
    </row>
    <row r="372" spans="2:8" x14ac:dyDescent="0.25">
      <c r="B372" s="30"/>
      <c r="C372" s="36"/>
      <c r="D372" s="35"/>
      <c r="E372" s="30"/>
      <c r="F372" s="30"/>
      <c r="G372" s="30"/>
      <c r="H372" s="30"/>
    </row>
    <row r="373" spans="2:8" x14ac:dyDescent="0.25">
      <c r="B373" s="30"/>
      <c r="C373" s="36"/>
      <c r="D373" s="35"/>
      <c r="E373" s="30"/>
      <c r="F373" s="30"/>
      <c r="G373" s="30"/>
      <c r="H373" s="30"/>
    </row>
    <row r="374" spans="2:8" x14ac:dyDescent="0.25">
      <c r="B374" s="30"/>
      <c r="C374" s="36"/>
      <c r="D374" s="35"/>
      <c r="E374" s="30"/>
      <c r="F374" s="30"/>
      <c r="G374" s="30"/>
      <c r="H374" s="30"/>
    </row>
    <row r="375" spans="2:8" x14ac:dyDescent="0.25">
      <c r="B375" s="30"/>
      <c r="C375" s="36"/>
      <c r="D375" s="35"/>
      <c r="E375" s="30"/>
      <c r="F375" s="30"/>
      <c r="G375" s="30"/>
      <c r="H375" s="30"/>
    </row>
    <row r="376" spans="2:8" x14ac:dyDescent="0.25">
      <c r="B376" s="30"/>
      <c r="C376" s="36"/>
      <c r="D376" s="35"/>
      <c r="E376" s="30"/>
      <c r="F376" s="30"/>
      <c r="G376" s="30"/>
      <c r="H376" s="30"/>
    </row>
    <row r="377" spans="2:8" x14ac:dyDescent="0.25">
      <c r="B377" s="30"/>
      <c r="C377" s="36"/>
      <c r="D377" s="35"/>
      <c r="E377" s="30"/>
      <c r="F377" s="30"/>
      <c r="G377" s="30"/>
      <c r="H377" s="30"/>
    </row>
    <row r="378" spans="2:8" x14ac:dyDescent="0.25">
      <c r="B378" s="30"/>
      <c r="C378" s="36"/>
      <c r="D378" s="30"/>
      <c r="E378" s="30"/>
      <c r="F378" s="30"/>
      <c r="G378" s="30"/>
      <c r="H378" s="30"/>
    </row>
    <row r="379" spans="2:8" x14ac:dyDescent="0.25">
      <c r="B379" s="30"/>
      <c r="C379" s="36"/>
      <c r="D379" s="30"/>
      <c r="E379" s="30"/>
      <c r="F379" s="30"/>
      <c r="G379" s="30"/>
      <c r="H379" s="30"/>
    </row>
    <row r="380" spans="2:8" x14ac:dyDescent="0.25">
      <c r="B380" s="30"/>
      <c r="C380" s="36"/>
      <c r="D380" s="30"/>
      <c r="E380" s="30"/>
      <c r="F380" s="30"/>
      <c r="G380" s="30"/>
      <c r="H380" s="30"/>
    </row>
    <row r="381" spans="2:8" x14ac:dyDescent="0.25">
      <c r="B381" s="30"/>
      <c r="C381" s="36"/>
      <c r="D381" s="30"/>
      <c r="E381" s="30"/>
      <c r="F381" s="30"/>
      <c r="G381" s="30"/>
      <c r="H381" s="30"/>
    </row>
    <row r="382" spans="2:8" x14ac:dyDescent="0.25">
      <c r="B382" s="30"/>
      <c r="C382" s="36"/>
      <c r="D382" s="30"/>
      <c r="E382" s="30"/>
      <c r="F382" s="30"/>
      <c r="G382" s="30"/>
      <c r="H382" s="30"/>
    </row>
    <row r="383" spans="2:8" x14ac:dyDescent="0.25">
      <c r="B383" s="30"/>
      <c r="C383" s="36"/>
      <c r="D383" s="30"/>
      <c r="E383" s="30"/>
      <c r="F383" s="30"/>
      <c r="G383" s="30"/>
      <c r="H383" s="30"/>
    </row>
    <row r="384" spans="2:8" x14ac:dyDescent="0.25">
      <c r="B384" s="30"/>
      <c r="C384" s="36"/>
      <c r="D384" s="30"/>
      <c r="E384" s="30"/>
      <c r="F384" s="30"/>
      <c r="G384" s="30"/>
      <c r="H384" s="30"/>
    </row>
    <row r="385" spans="2:8" x14ac:dyDescent="0.25">
      <c r="B385" s="30"/>
      <c r="C385" s="36"/>
      <c r="D385" s="30"/>
      <c r="E385" s="30"/>
      <c r="F385" s="30"/>
      <c r="G385" s="30"/>
      <c r="H385" s="30"/>
    </row>
    <row r="386" spans="2:8" x14ac:dyDescent="0.25">
      <c r="B386" s="30"/>
      <c r="C386" s="36"/>
      <c r="D386" s="30"/>
      <c r="E386" s="30"/>
      <c r="F386" s="30"/>
      <c r="G386" s="30"/>
      <c r="H386" s="30"/>
    </row>
    <row r="387" spans="2:8" x14ac:dyDescent="0.25">
      <c r="B387" s="30"/>
      <c r="C387" s="36"/>
      <c r="D387" s="30"/>
      <c r="E387" s="30"/>
      <c r="F387" s="30"/>
      <c r="G387" s="30"/>
      <c r="H387" s="30"/>
    </row>
    <row r="388" spans="2:8" x14ac:dyDescent="0.25">
      <c r="B388" s="30"/>
      <c r="C388" s="36"/>
      <c r="D388" s="30"/>
      <c r="E388" s="30"/>
      <c r="F388" s="30"/>
      <c r="G388" s="30"/>
      <c r="H388" s="30"/>
    </row>
    <row r="389" spans="2:8" x14ac:dyDescent="0.25">
      <c r="B389" s="30"/>
      <c r="C389" s="36"/>
      <c r="D389" s="30"/>
      <c r="E389" s="30"/>
      <c r="F389" s="30"/>
      <c r="G389" s="30"/>
      <c r="H389" s="30"/>
    </row>
    <row r="390" spans="2:8" x14ac:dyDescent="0.25">
      <c r="B390" s="30"/>
      <c r="C390" s="36"/>
      <c r="D390" s="30"/>
      <c r="E390" s="30"/>
      <c r="F390" s="30"/>
      <c r="G390" s="30"/>
      <c r="H390" s="30"/>
    </row>
    <row r="391" spans="2:8" x14ac:dyDescent="0.25">
      <c r="B391" s="30"/>
      <c r="C391" s="36"/>
      <c r="D391" s="30"/>
      <c r="E391" s="30"/>
      <c r="F391" s="30"/>
      <c r="G391" s="30"/>
      <c r="H391" s="30"/>
    </row>
    <row r="392" spans="2:8" x14ac:dyDescent="0.25">
      <c r="B392" s="30"/>
      <c r="C392" s="36"/>
      <c r="D392" s="30"/>
      <c r="E392" s="30"/>
      <c r="F392" s="30"/>
      <c r="G392" s="30"/>
      <c r="H392" s="30"/>
    </row>
    <row r="393" spans="2:8" x14ac:dyDescent="0.25">
      <c r="B393" s="30"/>
      <c r="C393" s="36"/>
      <c r="D393" s="30"/>
      <c r="E393" s="30"/>
      <c r="F393" s="30"/>
      <c r="G393" s="30"/>
      <c r="H393" s="30"/>
    </row>
    <row r="394" spans="2:8" x14ac:dyDescent="0.25">
      <c r="B394" s="30"/>
      <c r="C394" s="36"/>
      <c r="D394" s="30"/>
      <c r="E394" s="30"/>
      <c r="F394" s="30"/>
      <c r="G394" s="30"/>
      <c r="H394" s="30"/>
    </row>
    <row r="395" spans="2:8" x14ac:dyDescent="0.25">
      <c r="B395" s="30"/>
      <c r="C395" s="36"/>
      <c r="D395" s="30"/>
      <c r="E395" s="30"/>
      <c r="F395" s="30"/>
      <c r="G395" s="30"/>
      <c r="H395" s="30"/>
    </row>
    <row r="396" spans="2:8" x14ac:dyDescent="0.25">
      <c r="B396" s="30"/>
      <c r="C396" s="36"/>
      <c r="D396" s="30"/>
      <c r="E396" s="30"/>
      <c r="F396" s="30"/>
      <c r="G396" s="30"/>
      <c r="H396" s="30"/>
    </row>
    <row r="397" spans="2:8" x14ac:dyDescent="0.25">
      <c r="B397" s="30"/>
      <c r="C397" s="36"/>
      <c r="D397" s="30"/>
      <c r="E397" s="30"/>
      <c r="F397" s="30"/>
      <c r="G397" s="30"/>
      <c r="H397" s="30"/>
    </row>
    <row r="398" spans="2:8" x14ac:dyDescent="0.25">
      <c r="B398" s="30"/>
      <c r="C398" s="36"/>
      <c r="D398" s="30"/>
      <c r="E398" s="30"/>
      <c r="F398" s="30"/>
      <c r="G398" s="30"/>
      <c r="H398" s="30"/>
    </row>
    <row r="399" spans="2:8" x14ac:dyDescent="0.25">
      <c r="B399" s="30"/>
      <c r="C399" s="36"/>
      <c r="D399" s="30"/>
      <c r="E399" s="30"/>
      <c r="F399" s="30"/>
      <c r="G399" s="30"/>
      <c r="H399" s="30"/>
    </row>
    <row r="400" spans="2:8" x14ac:dyDescent="0.25">
      <c r="B400" s="30"/>
      <c r="C400" s="36"/>
      <c r="D400" s="30"/>
      <c r="E400" s="30"/>
      <c r="F400" s="30"/>
      <c r="G400" s="30"/>
      <c r="H400" s="30"/>
    </row>
    <row r="401" spans="2:8" x14ac:dyDescent="0.25">
      <c r="B401" s="30"/>
      <c r="C401" s="36"/>
      <c r="D401" s="30"/>
      <c r="E401" s="30"/>
      <c r="F401" s="30"/>
      <c r="G401" s="30"/>
      <c r="H401" s="30"/>
    </row>
    <row r="402" spans="2:8" x14ac:dyDescent="0.25">
      <c r="B402" s="30"/>
      <c r="C402" s="36"/>
      <c r="D402" s="30"/>
      <c r="E402" s="30"/>
      <c r="F402" s="30"/>
      <c r="G402" s="30"/>
      <c r="H402" s="30"/>
    </row>
    <row r="403" spans="2:8" x14ac:dyDescent="0.25">
      <c r="B403" s="30"/>
      <c r="C403" s="36"/>
      <c r="D403" s="30"/>
      <c r="E403" s="30"/>
      <c r="F403" s="30"/>
      <c r="G403" s="30"/>
      <c r="H403" s="30"/>
    </row>
    <row r="404" spans="2:8" x14ac:dyDescent="0.25">
      <c r="B404" s="30"/>
      <c r="C404" s="36"/>
      <c r="D404" s="30"/>
      <c r="E404" s="30"/>
      <c r="F404" s="30"/>
      <c r="G404" s="30"/>
      <c r="H404" s="30"/>
    </row>
    <row r="405" spans="2:8" x14ac:dyDescent="0.25">
      <c r="B405" s="30"/>
      <c r="C405" s="36"/>
      <c r="D405" s="30"/>
      <c r="E405" s="30"/>
      <c r="F405" s="30"/>
      <c r="G405" s="30"/>
      <c r="H405" s="30"/>
    </row>
    <row r="406" spans="2:8" x14ac:dyDescent="0.25">
      <c r="B406" s="30"/>
      <c r="C406" s="36"/>
      <c r="D406" s="30"/>
      <c r="E406" s="30"/>
      <c r="F406" s="30"/>
      <c r="G406" s="30"/>
      <c r="H406" s="30"/>
    </row>
    <row r="407" spans="2:8" x14ac:dyDescent="0.25">
      <c r="B407" s="30"/>
      <c r="C407" s="36"/>
      <c r="D407" s="30"/>
      <c r="E407" s="30"/>
      <c r="F407" s="30"/>
      <c r="G407" s="30"/>
      <c r="H407" s="30"/>
    </row>
    <row r="408" spans="2:8" x14ac:dyDescent="0.25">
      <c r="B408" s="30"/>
      <c r="C408" s="36"/>
      <c r="D408" s="30"/>
      <c r="E408" s="30"/>
      <c r="F408" s="30"/>
      <c r="G408" s="30"/>
      <c r="H408" s="30"/>
    </row>
    <row r="409" spans="2:8" x14ac:dyDescent="0.25">
      <c r="B409" s="30"/>
      <c r="C409" s="36"/>
      <c r="D409" s="30"/>
      <c r="E409" s="30"/>
      <c r="F409" s="30"/>
      <c r="G409" s="30"/>
      <c r="H409" s="30"/>
    </row>
    <row r="410" spans="2:8" x14ac:dyDescent="0.25">
      <c r="B410" s="30"/>
      <c r="C410" s="36"/>
      <c r="D410" s="30"/>
      <c r="E410" s="30"/>
      <c r="F410" s="30"/>
      <c r="G410" s="30"/>
      <c r="H410" s="30"/>
    </row>
    <row r="411" spans="2:8" x14ac:dyDescent="0.25">
      <c r="B411" s="30"/>
      <c r="C411" s="36"/>
      <c r="D411" s="30"/>
      <c r="E411" s="30"/>
      <c r="F411" s="30"/>
      <c r="G411" s="30"/>
      <c r="H411" s="30"/>
    </row>
    <row r="412" spans="2:8" x14ac:dyDescent="0.25">
      <c r="B412" s="30"/>
      <c r="C412" s="36"/>
      <c r="D412" s="30"/>
      <c r="E412" s="30"/>
      <c r="F412" s="30"/>
      <c r="G412" s="30"/>
      <c r="H412" s="30"/>
    </row>
    <row r="413" spans="2:8" x14ac:dyDescent="0.25">
      <c r="B413" s="30"/>
      <c r="C413" s="36"/>
      <c r="D413" s="30"/>
      <c r="E413" s="30"/>
      <c r="F413" s="30"/>
      <c r="G413" s="30"/>
      <c r="H413" s="30"/>
    </row>
    <row r="414" spans="2:8" x14ac:dyDescent="0.25">
      <c r="B414" s="30"/>
      <c r="C414" s="36"/>
      <c r="D414" s="30"/>
      <c r="E414" s="30"/>
      <c r="F414" s="30"/>
      <c r="G414" s="30"/>
      <c r="H414" s="30"/>
    </row>
    <row r="415" spans="2:8" x14ac:dyDescent="0.25">
      <c r="B415" s="30"/>
      <c r="C415" s="36"/>
      <c r="D415" s="30"/>
      <c r="E415" s="30"/>
      <c r="F415" s="30"/>
      <c r="G415" s="30"/>
      <c r="H415" s="30"/>
    </row>
    <row r="416" spans="2:8" x14ac:dyDescent="0.25">
      <c r="B416" s="30"/>
      <c r="C416" s="36"/>
      <c r="D416" s="30"/>
      <c r="E416" s="30"/>
      <c r="F416" s="30"/>
      <c r="G416" s="30"/>
      <c r="H416" s="30"/>
    </row>
    <row r="417" spans="2:8" x14ac:dyDescent="0.25">
      <c r="B417" s="30"/>
      <c r="C417" s="36"/>
      <c r="D417" s="30"/>
      <c r="E417" s="30"/>
      <c r="F417" s="30"/>
      <c r="G417" s="30"/>
      <c r="H417" s="30"/>
    </row>
    <row r="418" spans="2:8" x14ac:dyDescent="0.25">
      <c r="B418" s="30"/>
      <c r="C418" s="36"/>
      <c r="D418" s="30"/>
      <c r="E418" s="30"/>
      <c r="F418" s="30"/>
      <c r="G418" s="30"/>
      <c r="H418" s="30"/>
    </row>
    <row r="419" spans="2:8" x14ac:dyDescent="0.25">
      <c r="B419" s="30"/>
      <c r="C419" s="36"/>
      <c r="D419" s="30"/>
      <c r="E419" s="30"/>
      <c r="F419" s="30"/>
      <c r="G419" s="30"/>
      <c r="H419" s="30"/>
    </row>
    <row r="420" spans="2:8" x14ac:dyDescent="0.25">
      <c r="B420" s="30"/>
      <c r="C420" s="36"/>
      <c r="D420" s="30"/>
      <c r="E420" s="30"/>
      <c r="F420" s="30"/>
      <c r="G420" s="30"/>
      <c r="H420" s="30"/>
    </row>
    <row r="421" spans="2:8" x14ac:dyDescent="0.25">
      <c r="B421" s="30"/>
      <c r="C421" s="36"/>
      <c r="D421" s="30"/>
      <c r="E421" s="30"/>
      <c r="F421" s="30"/>
      <c r="G421" s="30"/>
      <c r="H421" s="30"/>
    </row>
    <row r="422" spans="2:8" x14ac:dyDescent="0.25">
      <c r="B422" s="30"/>
      <c r="C422" s="36"/>
      <c r="D422" s="30"/>
      <c r="E422" s="30"/>
      <c r="F422" s="30"/>
      <c r="G422" s="30"/>
      <c r="H422" s="30"/>
    </row>
    <row r="423" spans="2:8" x14ac:dyDescent="0.25">
      <c r="B423" s="30"/>
      <c r="C423" s="36"/>
      <c r="D423" s="30"/>
      <c r="E423" s="30"/>
      <c r="F423" s="30"/>
      <c r="G423" s="30"/>
      <c r="H423" s="30"/>
    </row>
    <row r="424" spans="2:8" x14ac:dyDescent="0.25">
      <c r="B424" s="30"/>
      <c r="C424" s="36"/>
      <c r="D424" s="30"/>
      <c r="E424" s="30"/>
      <c r="F424" s="30"/>
      <c r="G424" s="30"/>
      <c r="H424" s="30"/>
    </row>
    <row r="425" spans="2:8" x14ac:dyDescent="0.25">
      <c r="B425" s="30"/>
      <c r="C425" s="36"/>
      <c r="D425" s="30"/>
      <c r="E425" s="30"/>
      <c r="F425" s="30"/>
      <c r="G425" s="30"/>
      <c r="H425" s="30"/>
    </row>
    <row r="426" spans="2:8" x14ac:dyDescent="0.25">
      <c r="B426" s="30"/>
      <c r="C426" s="36"/>
      <c r="D426" s="30"/>
      <c r="E426" s="30"/>
      <c r="F426" s="30"/>
      <c r="G426" s="30"/>
      <c r="H426" s="30"/>
    </row>
    <row r="427" spans="2:8" x14ac:dyDescent="0.25">
      <c r="B427" s="30"/>
      <c r="C427" s="36"/>
      <c r="D427" s="30"/>
      <c r="E427" s="30"/>
      <c r="F427" s="30"/>
      <c r="G427" s="30"/>
      <c r="H427" s="30"/>
    </row>
    <row r="428" spans="2:8" x14ac:dyDescent="0.25">
      <c r="B428" s="30"/>
      <c r="C428" s="36"/>
      <c r="D428" s="30"/>
      <c r="E428" s="30"/>
      <c r="F428" s="30"/>
      <c r="G428" s="30"/>
      <c r="H428" s="30"/>
    </row>
    <row r="429" spans="2:8" x14ac:dyDescent="0.25">
      <c r="B429" s="30"/>
      <c r="C429" s="36"/>
      <c r="D429" s="30"/>
      <c r="E429" s="30"/>
      <c r="F429" s="30"/>
      <c r="G429" s="30"/>
      <c r="H429" s="30"/>
    </row>
    <row r="430" spans="2:8" x14ac:dyDescent="0.25">
      <c r="B430" s="30"/>
      <c r="C430" s="36"/>
      <c r="D430" s="30"/>
      <c r="E430" s="30"/>
      <c r="F430" s="30"/>
      <c r="G430" s="30"/>
      <c r="H430" s="30"/>
    </row>
    <row r="431" spans="2:8" x14ac:dyDescent="0.25">
      <c r="B431" s="30"/>
      <c r="C431" s="36"/>
      <c r="D431" s="30"/>
      <c r="E431" s="30"/>
      <c r="F431" s="30"/>
      <c r="G431" s="30"/>
      <c r="H431" s="30"/>
    </row>
    <row r="432" spans="2:8" x14ac:dyDescent="0.25">
      <c r="B432" s="30"/>
      <c r="C432" s="36"/>
      <c r="D432" s="30"/>
      <c r="E432" s="30"/>
      <c r="F432" s="30"/>
      <c r="G432" s="30"/>
      <c r="H432" s="30"/>
    </row>
    <row r="433" spans="2:8" x14ac:dyDescent="0.25">
      <c r="B433" s="30"/>
      <c r="C433" s="36"/>
      <c r="D433" s="30"/>
      <c r="E433" s="30"/>
      <c r="F433" s="30"/>
      <c r="G433" s="30"/>
      <c r="H433" s="30"/>
    </row>
    <row r="434" spans="2:8" x14ac:dyDescent="0.25">
      <c r="B434" s="30"/>
      <c r="C434" s="36"/>
      <c r="D434" s="30"/>
      <c r="E434" s="30"/>
      <c r="F434" s="30"/>
      <c r="G434" s="30"/>
      <c r="H434" s="30"/>
    </row>
    <row r="435" spans="2:8" x14ac:dyDescent="0.25">
      <c r="B435" s="30"/>
      <c r="C435" s="36"/>
      <c r="D435" s="30"/>
      <c r="E435" s="30"/>
      <c r="F435" s="30"/>
      <c r="G435" s="30"/>
      <c r="H435" s="30"/>
    </row>
    <row r="436" spans="2:8" x14ac:dyDescent="0.25">
      <c r="B436" s="30"/>
      <c r="C436" s="36"/>
      <c r="D436" s="30"/>
      <c r="E436" s="30"/>
      <c r="F436" s="30"/>
      <c r="G436" s="30"/>
      <c r="H436" s="30"/>
    </row>
    <row r="437" spans="2:8" x14ac:dyDescent="0.25">
      <c r="B437" s="30"/>
      <c r="C437" s="36"/>
      <c r="D437" s="30"/>
      <c r="E437" s="30"/>
      <c r="F437" s="30"/>
      <c r="G437" s="30"/>
      <c r="H437" s="30"/>
    </row>
    <row r="438" spans="2:8" x14ac:dyDescent="0.25">
      <c r="B438" s="30"/>
      <c r="C438" s="36"/>
      <c r="D438" s="30"/>
      <c r="E438" s="30"/>
      <c r="F438" s="30"/>
      <c r="G438" s="30"/>
      <c r="H438" s="30"/>
    </row>
    <row r="439" spans="2:8" x14ac:dyDescent="0.25">
      <c r="B439" s="30"/>
      <c r="C439" s="36"/>
      <c r="D439" s="30"/>
      <c r="E439" s="30"/>
      <c r="F439" s="30"/>
      <c r="G439" s="30"/>
      <c r="H439" s="30"/>
    </row>
    <row r="440" spans="2:8" x14ac:dyDescent="0.25">
      <c r="B440" s="30"/>
      <c r="C440" s="36"/>
      <c r="D440" s="30"/>
      <c r="E440" s="30"/>
      <c r="F440" s="30"/>
      <c r="G440" s="30"/>
      <c r="H440" s="30"/>
    </row>
    <row r="441" spans="2:8" x14ac:dyDescent="0.25">
      <c r="B441" s="30"/>
      <c r="C441" s="36"/>
      <c r="D441" s="30"/>
      <c r="E441" s="30"/>
      <c r="F441" s="30"/>
      <c r="G441" s="30"/>
      <c r="H441" s="30"/>
    </row>
    <row r="442" spans="2:8" x14ac:dyDescent="0.25">
      <c r="B442" s="30"/>
      <c r="C442" s="36"/>
      <c r="D442" s="30"/>
      <c r="E442" s="30"/>
      <c r="F442" s="30"/>
      <c r="G442" s="30"/>
      <c r="H442" s="30"/>
    </row>
    <row r="443" spans="2:8" x14ac:dyDescent="0.25">
      <c r="B443" s="30"/>
      <c r="C443" s="36"/>
      <c r="D443" s="30"/>
      <c r="E443" s="30"/>
      <c r="F443" s="30"/>
      <c r="G443" s="30"/>
      <c r="H443" s="30"/>
    </row>
    <row r="444" spans="2:8" x14ac:dyDescent="0.25">
      <c r="B444" s="30"/>
      <c r="C444" s="36"/>
      <c r="D444" s="30"/>
      <c r="E444" s="30"/>
      <c r="F444" s="30"/>
      <c r="G444" s="30"/>
      <c r="H444" s="30"/>
    </row>
    <row r="445" spans="2:8" x14ac:dyDescent="0.25">
      <c r="B445" s="30"/>
      <c r="C445" s="36"/>
      <c r="D445" s="30"/>
      <c r="E445" s="30"/>
      <c r="F445" s="30"/>
      <c r="G445" s="30"/>
      <c r="H445" s="30"/>
    </row>
    <row r="446" spans="2:8" x14ac:dyDescent="0.25">
      <c r="B446" s="30"/>
      <c r="C446" s="36"/>
      <c r="D446" s="30"/>
      <c r="E446" s="30"/>
      <c r="F446" s="30"/>
      <c r="G446" s="30"/>
      <c r="H446" s="30"/>
    </row>
    <row r="447" spans="2:8" x14ac:dyDescent="0.25">
      <c r="B447" s="30"/>
      <c r="C447" s="36"/>
      <c r="D447" s="30"/>
      <c r="E447" s="30"/>
      <c r="F447" s="30"/>
      <c r="G447" s="30"/>
      <c r="H447" s="30"/>
    </row>
    <row r="448" spans="2:8" x14ac:dyDescent="0.25">
      <c r="B448" s="30"/>
      <c r="C448" s="36"/>
      <c r="D448" s="30"/>
      <c r="E448" s="30"/>
      <c r="F448" s="30"/>
      <c r="G448" s="30"/>
      <c r="H448" s="30"/>
    </row>
    <row r="449" spans="2:8" x14ac:dyDescent="0.25">
      <c r="B449" s="30"/>
      <c r="C449" s="36"/>
      <c r="D449" s="30"/>
      <c r="E449" s="30"/>
      <c r="F449" s="30"/>
      <c r="G449" s="30"/>
      <c r="H449" s="30"/>
    </row>
    <row r="450" spans="2:8" x14ac:dyDescent="0.25">
      <c r="B450" s="30"/>
      <c r="C450" s="36"/>
      <c r="D450" s="30"/>
      <c r="E450" s="30"/>
      <c r="F450" s="30"/>
      <c r="G450" s="30"/>
      <c r="H450" s="30"/>
    </row>
    <row r="451" spans="2:8" x14ac:dyDescent="0.25">
      <c r="B451" s="30"/>
      <c r="C451" s="36"/>
      <c r="D451" s="30"/>
      <c r="E451" s="30"/>
      <c r="F451" s="30"/>
      <c r="G451" s="30"/>
      <c r="H451" s="30"/>
    </row>
    <row r="452" spans="2:8" x14ac:dyDescent="0.25">
      <c r="B452" s="30"/>
      <c r="C452" s="36"/>
      <c r="D452" s="30"/>
      <c r="E452" s="30"/>
      <c r="F452" s="30"/>
      <c r="G452" s="30"/>
      <c r="H452" s="30"/>
    </row>
    <row r="453" spans="2:8" x14ac:dyDescent="0.25">
      <c r="B453" s="30"/>
      <c r="C453" s="36"/>
      <c r="D453" s="30"/>
      <c r="E453" s="30"/>
      <c r="F453" s="30"/>
      <c r="G453" s="30"/>
      <c r="H453" s="30"/>
    </row>
    <row r="454" spans="2:8" x14ac:dyDescent="0.25">
      <c r="B454" s="30"/>
      <c r="C454" s="36"/>
      <c r="D454" s="30"/>
      <c r="E454" s="30"/>
      <c r="F454" s="30"/>
      <c r="G454" s="30"/>
      <c r="H454" s="30"/>
    </row>
    <row r="455" spans="2:8" x14ac:dyDescent="0.25">
      <c r="B455" s="30"/>
      <c r="C455" s="36"/>
      <c r="D455" s="30"/>
      <c r="E455" s="30"/>
      <c r="F455" s="30"/>
      <c r="G455" s="30"/>
      <c r="H455" s="30"/>
    </row>
    <row r="456" spans="2:8" x14ac:dyDescent="0.25">
      <c r="B456" s="30"/>
      <c r="C456" s="36"/>
      <c r="D456" s="30"/>
      <c r="E456" s="30"/>
      <c r="F456" s="30"/>
      <c r="G456" s="30"/>
      <c r="H456" s="30"/>
    </row>
    <row r="457" spans="2:8" x14ac:dyDescent="0.25">
      <c r="B457" s="30"/>
      <c r="C457" s="36"/>
      <c r="D457" s="30"/>
      <c r="E457" s="30"/>
      <c r="F457" s="30"/>
      <c r="G457" s="30"/>
      <c r="H457" s="30"/>
    </row>
    <row r="458" spans="2:8" x14ac:dyDescent="0.25">
      <c r="B458" s="30"/>
      <c r="C458" s="36"/>
      <c r="D458" s="30"/>
      <c r="E458" s="30"/>
      <c r="F458" s="30"/>
      <c r="G458" s="30"/>
      <c r="H458" s="30"/>
    </row>
    <row r="459" spans="2:8" x14ac:dyDescent="0.25">
      <c r="B459" s="30"/>
      <c r="C459" s="36"/>
      <c r="D459" s="30"/>
      <c r="E459" s="30"/>
      <c r="F459" s="30"/>
      <c r="G459" s="30"/>
      <c r="H459" s="30"/>
    </row>
    <row r="460" spans="2:8" x14ac:dyDescent="0.25">
      <c r="B460" s="30"/>
      <c r="C460" s="36"/>
      <c r="D460" s="30"/>
      <c r="E460" s="30"/>
      <c r="F460" s="30"/>
      <c r="G460" s="30"/>
      <c r="H460" s="30"/>
    </row>
    <row r="461" spans="2:8" x14ac:dyDescent="0.25">
      <c r="B461" s="30"/>
      <c r="C461" s="36"/>
      <c r="D461" s="30"/>
      <c r="E461" s="30"/>
      <c r="F461" s="30"/>
      <c r="G461" s="30"/>
      <c r="H461" s="30"/>
    </row>
    <row r="462" spans="2:8" x14ac:dyDescent="0.25">
      <c r="B462" s="30"/>
      <c r="C462" s="36"/>
      <c r="D462" s="30"/>
      <c r="E462" s="30"/>
      <c r="F462" s="30"/>
      <c r="G462" s="30"/>
      <c r="H462" s="30"/>
    </row>
    <row r="463" spans="2:8" x14ac:dyDescent="0.25">
      <c r="B463" s="30"/>
      <c r="C463" s="36"/>
      <c r="D463" s="30"/>
      <c r="E463" s="30"/>
      <c r="F463" s="30"/>
      <c r="G463" s="30"/>
      <c r="H463" s="30"/>
    </row>
    <row r="464" spans="2:8" x14ac:dyDescent="0.25">
      <c r="B464" s="30"/>
      <c r="C464" s="36"/>
      <c r="D464" s="30"/>
      <c r="E464" s="30"/>
      <c r="F464" s="30"/>
      <c r="G464" s="30"/>
      <c r="H464" s="30"/>
    </row>
    <row r="465" spans="2:8" x14ac:dyDescent="0.25">
      <c r="B465" s="30"/>
      <c r="C465" s="36"/>
      <c r="D465" s="30"/>
      <c r="E465" s="30"/>
      <c r="F465" s="30"/>
      <c r="G465" s="30"/>
      <c r="H465" s="30"/>
    </row>
    <row r="466" spans="2:8" x14ac:dyDescent="0.25">
      <c r="B466" s="30"/>
      <c r="C466" s="36"/>
      <c r="D466" s="30"/>
      <c r="E466" s="30"/>
      <c r="F466" s="30"/>
      <c r="G466" s="30"/>
      <c r="H466" s="30"/>
    </row>
    <row r="467" spans="2:8" x14ac:dyDescent="0.25">
      <c r="B467" s="30"/>
      <c r="C467" s="36"/>
      <c r="D467" s="30"/>
      <c r="E467" s="30"/>
      <c r="F467" s="30"/>
      <c r="G467" s="30"/>
      <c r="H467" s="30"/>
    </row>
    <row r="468" spans="2:8" x14ac:dyDescent="0.25">
      <c r="B468" s="30"/>
      <c r="C468" s="36"/>
      <c r="D468" s="30"/>
      <c r="E468" s="30"/>
      <c r="F468" s="30"/>
      <c r="G468" s="30"/>
      <c r="H468" s="30"/>
    </row>
    <row r="469" spans="2:8" x14ac:dyDescent="0.25">
      <c r="B469" s="30"/>
      <c r="C469" s="36"/>
      <c r="D469" s="30"/>
      <c r="E469" s="30"/>
      <c r="F469" s="30"/>
      <c r="G469" s="30"/>
      <c r="H469" s="30"/>
    </row>
    <row r="470" spans="2:8" x14ac:dyDescent="0.25">
      <c r="B470" s="30"/>
      <c r="C470" s="36"/>
      <c r="D470" s="30"/>
      <c r="E470" s="30"/>
      <c r="F470" s="30"/>
      <c r="G470" s="30"/>
      <c r="H470" s="30"/>
    </row>
    <row r="471" spans="2:8" x14ac:dyDescent="0.25">
      <c r="B471" s="30"/>
      <c r="C471" s="36"/>
      <c r="D471" s="30"/>
      <c r="E471" s="30"/>
      <c r="F471" s="30"/>
      <c r="G471" s="30"/>
      <c r="H471" s="30"/>
    </row>
    <row r="472" spans="2:8" x14ac:dyDescent="0.25">
      <c r="B472" s="30"/>
      <c r="C472" s="36"/>
      <c r="D472" s="30"/>
      <c r="E472" s="30"/>
      <c r="F472" s="30"/>
      <c r="G472" s="30"/>
      <c r="H472" s="30"/>
    </row>
    <row r="473" spans="2:8" x14ac:dyDescent="0.25">
      <c r="B473" s="30"/>
      <c r="C473" s="36"/>
      <c r="D473" s="30"/>
      <c r="E473" s="30"/>
      <c r="F473" s="30"/>
      <c r="G473" s="30"/>
      <c r="H473" s="30"/>
    </row>
    <row r="474" spans="2:8" x14ac:dyDescent="0.25">
      <c r="B474" s="30"/>
      <c r="C474" s="36"/>
      <c r="D474" s="30"/>
      <c r="E474" s="30"/>
      <c r="F474" s="30"/>
      <c r="G474" s="30"/>
      <c r="H474" s="30"/>
    </row>
    <row r="475" spans="2:8" x14ac:dyDescent="0.25">
      <c r="B475" s="30"/>
      <c r="C475" s="36"/>
      <c r="D475" s="30"/>
      <c r="E475" s="30"/>
      <c r="F475" s="30"/>
      <c r="G475" s="30"/>
      <c r="H475" s="30"/>
    </row>
    <row r="476" spans="2:8" x14ac:dyDescent="0.25">
      <c r="B476" s="30"/>
      <c r="C476" s="36"/>
      <c r="D476" s="30"/>
      <c r="E476" s="30"/>
      <c r="F476" s="30"/>
      <c r="G476" s="30"/>
      <c r="H476" s="30"/>
    </row>
    <row r="477" spans="2:8" x14ac:dyDescent="0.25">
      <c r="B477" s="30"/>
      <c r="C477" s="36"/>
      <c r="D477" s="30"/>
      <c r="E477" s="30"/>
      <c r="F477" s="30"/>
      <c r="G477" s="30"/>
      <c r="H477" s="30"/>
    </row>
    <row r="478" spans="2:8" x14ac:dyDescent="0.25">
      <c r="B478" s="30"/>
      <c r="C478" s="36"/>
      <c r="D478" s="30"/>
      <c r="E478" s="30"/>
      <c r="F478" s="30"/>
      <c r="G478" s="30"/>
      <c r="H478" s="30"/>
    </row>
    <row r="479" spans="2:8" x14ac:dyDescent="0.25">
      <c r="B479" s="30"/>
      <c r="C479" s="36"/>
      <c r="D479" s="30"/>
      <c r="E479" s="30"/>
      <c r="F479" s="30"/>
      <c r="G479" s="30"/>
      <c r="H479" s="30"/>
    </row>
    <row r="480" spans="2:8" x14ac:dyDescent="0.25">
      <c r="B480" s="30"/>
      <c r="C480" s="36"/>
      <c r="D480" s="30"/>
      <c r="E480" s="30"/>
      <c r="F480" s="30"/>
      <c r="G480" s="30"/>
      <c r="H480" s="30"/>
    </row>
    <row r="481" spans="2:8" x14ac:dyDescent="0.25">
      <c r="B481" s="30"/>
      <c r="C481" s="36"/>
      <c r="D481" s="30"/>
      <c r="E481" s="30"/>
      <c r="F481" s="30"/>
      <c r="G481" s="30"/>
      <c r="H481" s="30"/>
    </row>
    <row r="482" spans="2:8" x14ac:dyDescent="0.25">
      <c r="B482" s="30"/>
      <c r="C482" s="36"/>
      <c r="D482" s="30"/>
      <c r="E482" s="30"/>
      <c r="F482" s="30"/>
      <c r="G482" s="30"/>
      <c r="H482" s="30"/>
    </row>
    <row r="483" spans="2:8" x14ac:dyDescent="0.25">
      <c r="B483" s="30"/>
      <c r="C483" s="36"/>
      <c r="D483" s="30"/>
      <c r="E483" s="30"/>
      <c r="F483" s="30"/>
      <c r="G483" s="30"/>
      <c r="H483" s="30"/>
    </row>
    <row r="484" spans="2:8" x14ac:dyDescent="0.25">
      <c r="B484" s="30"/>
      <c r="C484" s="36"/>
      <c r="D484" s="30"/>
      <c r="E484" s="30"/>
      <c r="F484" s="30"/>
      <c r="G484" s="30"/>
      <c r="H484" s="30"/>
    </row>
    <row r="485" spans="2:8" x14ac:dyDescent="0.25">
      <c r="B485" s="30"/>
      <c r="C485" s="36"/>
      <c r="D485" s="30"/>
      <c r="E485" s="30"/>
      <c r="F485" s="30"/>
      <c r="G485" s="30"/>
      <c r="H485" s="30"/>
    </row>
    <row r="486" spans="2:8" x14ac:dyDescent="0.25">
      <c r="B486" s="30"/>
      <c r="C486" s="36"/>
      <c r="D486" s="30"/>
      <c r="E486" s="30"/>
      <c r="F486" s="30"/>
      <c r="G486" s="30"/>
      <c r="H486" s="30"/>
    </row>
    <row r="487" spans="2:8" x14ac:dyDescent="0.25">
      <c r="B487" s="30"/>
      <c r="C487" s="36"/>
      <c r="D487" s="30"/>
      <c r="E487" s="30"/>
      <c r="F487" s="30"/>
      <c r="G487" s="30"/>
      <c r="H487" s="30"/>
    </row>
    <row r="488" spans="2:8" x14ac:dyDescent="0.25">
      <c r="B488" s="30"/>
      <c r="C488" s="36"/>
      <c r="D488" s="30"/>
      <c r="E488" s="30"/>
      <c r="F488" s="30"/>
      <c r="G488" s="30"/>
      <c r="H488" s="30"/>
    </row>
    <row r="489" spans="2:8" x14ac:dyDescent="0.25">
      <c r="B489" s="30"/>
      <c r="C489" s="36"/>
      <c r="D489" s="30"/>
      <c r="E489" s="30"/>
      <c r="F489" s="30"/>
      <c r="G489" s="30"/>
      <c r="H489" s="30"/>
    </row>
    <row r="490" spans="2:8" x14ac:dyDescent="0.25">
      <c r="B490" s="30"/>
      <c r="C490" s="36"/>
      <c r="D490" s="30"/>
      <c r="E490" s="30"/>
      <c r="F490" s="30"/>
      <c r="G490" s="30"/>
      <c r="H490" s="30"/>
    </row>
    <row r="491" spans="2:8" x14ac:dyDescent="0.25">
      <c r="B491" s="30"/>
      <c r="C491" s="36"/>
      <c r="D491" s="30"/>
      <c r="E491" s="30"/>
      <c r="F491" s="30"/>
      <c r="G491" s="30"/>
      <c r="H491" s="30"/>
    </row>
    <row r="492" spans="2:8" x14ac:dyDescent="0.25">
      <c r="B492" s="30"/>
      <c r="C492" s="36"/>
      <c r="D492" s="30"/>
      <c r="E492" s="30"/>
      <c r="F492" s="30"/>
      <c r="G492" s="30"/>
      <c r="H492" s="30"/>
    </row>
    <row r="493" spans="2:8" x14ac:dyDescent="0.25">
      <c r="B493" s="30"/>
      <c r="C493" s="36"/>
      <c r="D493" s="30"/>
      <c r="E493" s="30"/>
      <c r="F493" s="30"/>
      <c r="G493" s="30"/>
      <c r="H493" s="30"/>
    </row>
    <row r="494" spans="2:8" x14ac:dyDescent="0.25">
      <c r="B494" s="30"/>
      <c r="C494" s="36"/>
      <c r="D494" s="30"/>
      <c r="E494" s="30"/>
      <c r="F494" s="30"/>
      <c r="G494" s="30"/>
      <c r="H494" s="30"/>
    </row>
    <row r="495" spans="2:8" x14ac:dyDescent="0.25">
      <c r="B495" s="30"/>
      <c r="C495" s="36"/>
      <c r="D495" s="30"/>
      <c r="E495" s="30"/>
      <c r="F495" s="30"/>
      <c r="G495" s="30"/>
      <c r="H495" s="30"/>
    </row>
    <row r="496" spans="2:8" x14ac:dyDescent="0.25">
      <c r="B496" s="30"/>
      <c r="C496" s="36"/>
      <c r="D496" s="30"/>
      <c r="E496" s="30"/>
      <c r="F496" s="30"/>
      <c r="G496" s="30"/>
      <c r="H496" s="30"/>
    </row>
    <row r="497" spans="2:8" x14ac:dyDescent="0.25">
      <c r="B497" s="30"/>
      <c r="C497" s="36"/>
      <c r="D497" s="30"/>
      <c r="E497" s="30"/>
      <c r="F497" s="30"/>
      <c r="G497" s="30"/>
      <c r="H497" s="30"/>
    </row>
    <row r="498" spans="2:8" x14ac:dyDescent="0.25">
      <c r="B498" s="30"/>
      <c r="C498" s="36"/>
      <c r="D498" s="30"/>
      <c r="E498" s="30"/>
      <c r="F498" s="30"/>
      <c r="G498" s="30"/>
      <c r="H498" s="30"/>
    </row>
    <row r="499" spans="2:8" x14ac:dyDescent="0.25">
      <c r="B499" s="30"/>
      <c r="C499" s="36"/>
      <c r="D499" s="30"/>
      <c r="E499" s="30"/>
      <c r="F499" s="30"/>
      <c r="G499" s="30"/>
      <c r="H499" s="30"/>
    </row>
    <row r="500" spans="2:8" x14ac:dyDescent="0.25">
      <c r="B500" s="30"/>
      <c r="C500" s="36"/>
      <c r="D500" s="30"/>
      <c r="E500" s="30"/>
      <c r="F500" s="30"/>
      <c r="G500" s="30"/>
      <c r="H500" s="30"/>
    </row>
    <row r="501" spans="2:8" x14ac:dyDescent="0.25">
      <c r="B501" s="30"/>
      <c r="C501" s="36"/>
      <c r="D501" s="30"/>
      <c r="E501" s="30"/>
      <c r="F501" s="30"/>
      <c r="G501" s="30"/>
      <c r="H501" s="30"/>
    </row>
    <row r="502" spans="2:8" x14ac:dyDescent="0.25">
      <c r="B502" s="30"/>
      <c r="C502" s="36"/>
      <c r="D502" s="30"/>
      <c r="E502" s="30"/>
      <c r="F502" s="30"/>
      <c r="G502" s="30"/>
      <c r="H502" s="30"/>
    </row>
    <row r="503" spans="2:8" x14ac:dyDescent="0.25">
      <c r="B503" s="30"/>
      <c r="C503" s="36"/>
      <c r="D503" s="30"/>
      <c r="E503" s="30"/>
      <c r="F503" s="30"/>
      <c r="G503" s="30"/>
      <c r="H503" s="30"/>
    </row>
    <row r="504" spans="2:8" x14ac:dyDescent="0.25">
      <c r="B504" s="30"/>
      <c r="C504" s="36"/>
      <c r="D504" s="30"/>
      <c r="E504" s="30"/>
      <c r="F504" s="30"/>
      <c r="G504" s="30"/>
      <c r="H504" s="30"/>
    </row>
    <row r="505" spans="2:8" x14ac:dyDescent="0.25">
      <c r="B505" s="30"/>
      <c r="C505" s="36"/>
      <c r="D505" s="30"/>
      <c r="E505" s="30"/>
      <c r="F505" s="30"/>
      <c r="G505" s="30"/>
      <c r="H505" s="30"/>
    </row>
    <row r="506" spans="2:8" x14ac:dyDescent="0.25">
      <c r="B506" s="30"/>
      <c r="C506" s="36"/>
      <c r="D506" s="30"/>
      <c r="E506" s="30"/>
      <c r="F506" s="30"/>
      <c r="G506" s="30"/>
      <c r="H506" s="30"/>
    </row>
    <row r="507" spans="2:8" x14ac:dyDescent="0.25">
      <c r="B507" s="30"/>
      <c r="C507" s="36"/>
      <c r="D507" s="30"/>
      <c r="E507" s="30"/>
      <c r="F507" s="30"/>
      <c r="G507" s="30"/>
      <c r="H507" s="30"/>
    </row>
    <row r="508" spans="2:8" x14ac:dyDescent="0.25">
      <c r="B508" s="30"/>
      <c r="C508" s="36"/>
      <c r="D508" s="30"/>
      <c r="E508" s="30"/>
      <c r="F508" s="30"/>
      <c r="G508" s="30"/>
      <c r="H508" s="30"/>
    </row>
    <row r="509" spans="2:8" x14ac:dyDescent="0.25">
      <c r="B509" s="30"/>
      <c r="C509" s="36"/>
      <c r="D509" s="30"/>
      <c r="E509" s="30"/>
      <c r="F509" s="30"/>
      <c r="G509" s="30"/>
      <c r="H509" s="30"/>
    </row>
    <row r="510" spans="2:8" x14ac:dyDescent="0.25">
      <c r="B510" s="30"/>
      <c r="C510" s="36"/>
      <c r="D510" s="30"/>
      <c r="E510" s="30"/>
      <c r="F510" s="30"/>
      <c r="G510" s="30"/>
      <c r="H510" s="30"/>
    </row>
    <row r="511" spans="2:8" x14ac:dyDescent="0.25">
      <c r="B511" s="30"/>
      <c r="C511" s="36"/>
      <c r="D511" s="30"/>
      <c r="E511" s="30"/>
      <c r="F511" s="30"/>
      <c r="G511" s="30"/>
      <c r="H511" s="30"/>
    </row>
    <row r="512" spans="2:8" x14ac:dyDescent="0.25">
      <c r="B512" s="30"/>
      <c r="C512" s="36"/>
      <c r="D512" s="30"/>
      <c r="E512" s="30"/>
      <c r="F512" s="30"/>
      <c r="G512" s="30"/>
      <c r="H512" s="30"/>
    </row>
    <row r="513" spans="2:8" x14ac:dyDescent="0.25">
      <c r="B513" s="30"/>
      <c r="C513" s="36"/>
      <c r="D513" s="30"/>
      <c r="E513" s="30"/>
      <c r="F513" s="30"/>
      <c r="G513" s="30"/>
      <c r="H513" s="30"/>
    </row>
    <row r="514" spans="2:8" x14ac:dyDescent="0.25">
      <c r="B514" s="30"/>
      <c r="C514" s="36"/>
      <c r="D514" s="30"/>
      <c r="E514" s="30"/>
      <c r="F514" s="30"/>
      <c r="G514" s="30"/>
      <c r="H514" s="30"/>
    </row>
    <row r="515" spans="2:8" x14ac:dyDescent="0.25">
      <c r="B515" s="30"/>
      <c r="C515" s="36"/>
      <c r="D515" s="30"/>
      <c r="E515" s="30"/>
      <c r="F515" s="30"/>
      <c r="G515" s="30"/>
      <c r="H515" s="30"/>
    </row>
    <row r="516" spans="2:8" x14ac:dyDescent="0.25">
      <c r="B516" s="30"/>
      <c r="C516" s="36"/>
      <c r="D516" s="30"/>
      <c r="E516" s="30"/>
      <c r="F516" s="30"/>
      <c r="G516" s="30"/>
      <c r="H516" s="30"/>
    </row>
    <row r="517" spans="2:8" x14ac:dyDescent="0.25">
      <c r="B517" s="30"/>
      <c r="C517" s="36"/>
      <c r="D517" s="30"/>
      <c r="E517" s="30"/>
      <c r="F517" s="30"/>
      <c r="G517" s="30"/>
      <c r="H517" s="30"/>
    </row>
    <row r="518" spans="2:8" x14ac:dyDescent="0.25">
      <c r="B518" s="30"/>
      <c r="C518" s="36"/>
      <c r="D518" s="30"/>
      <c r="E518" s="30"/>
      <c r="F518" s="30"/>
      <c r="G518" s="30"/>
      <c r="H518" s="30"/>
    </row>
    <row r="519" spans="2:8" x14ac:dyDescent="0.25">
      <c r="B519" s="30"/>
      <c r="C519" s="36"/>
      <c r="D519" s="30"/>
      <c r="E519" s="30"/>
      <c r="F519" s="30"/>
      <c r="G519" s="30"/>
      <c r="H519" s="30"/>
    </row>
    <row r="520" spans="2:8" x14ac:dyDescent="0.25">
      <c r="B520" s="30"/>
      <c r="C520" s="36"/>
      <c r="D520" s="30"/>
      <c r="E520" s="30"/>
      <c r="F520" s="30"/>
      <c r="G520" s="30"/>
      <c r="H520" s="30"/>
    </row>
    <row r="521" spans="2:8" x14ac:dyDescent="0.25">
      <c r="B521" s="30"/>
      <c r="C521" s="36"/>
      <c r="D521" s="30"/>
      <c r="E521" s="30"/>
      <c r="F521" s="30"/>
      <c r="G521" s="30"/>
      <c r="H521" s="30"/>
    </row>
    <row r="522" spans="2:8" x14ac:dyDescent="0.25">
      <c r="B522" s="30"/>
      <c r="C522" s="36"/>
      <c r="D522" s="30"/>
      <c r="E522" s="30"/>
      <c r="F522" s="30"/>
      <c r="G522" s="30"/>
      <c r="H522" s="30"/>
    </row>
    <row r="523" spans="2:8" x14ac:dyDescent="0.25">
      <c r="B523" s="30"/>
      <c r="C523" s="36"/>
      <c r="D523" s="30"/>
      <c r="E523" s="30"/>
      <c r="F523" s="30"/>
      <c r="G523" s="30"/>
      <c r="H523" s="30"/>
    </row>
    <row r="524" spans="2:8" x14ac:dyDescent="0.25">
      <c r="B524" s="30"/>
      <c r="C524" s="36"/>
      <c r="D524" s="30"/>
      <c r="E524" s="30"/>
      <c r="F524" s="30"/>
      <c r="G524" s="30"/>
      <c r="H524" s="30"/>
    </row>
    <row r="525" spans="2:8" x14ac:dyDescent="0.25">
      <c r="B525" s="30"/>
      <c r="C525" s="36"/>
      <c r="D525" s="30"/>
      <c r="E525" s="30"/>
      <c r="F525" s="30"/>
      <c r="G525" s="30"/>
      <c r="H525" s="30"/>
    </row>
    <row r="526" spans="2:8" x14ac:dyDescent="0.25">
      <c r="B526" s="30"/>
      <c r="C526" s="36"/>
      <c r="D526" s="30"/>
      <c r="E526" s="30"/>
      <c r="F526" s="30"/>
      <c r="G526" s="30"/>
      <c r="H526" s="30"/>
    </row>
    <row r="527" spans="2:8" x14ac:dyDescent="0.25">
      <c r="B527" s="30"/>
      <c r="C527" s="36"/>
      <c r="D527" s="30"/>
      <c r="E527" s="30"/>
      <c r="F527" s="30"/>
      <c r="G527" s="30"/>
      <c r="H527" s="30"/>
    </row>
    <row r="528" spans="2:8" x14ac:dyDescent="0.25">
      <c r="B528" s="30"/>
      <c r="C528" s="36"/>
      <c r="D528" s="30"/>
      <c r="E528" s="30"/>
      <c r="F528" s="30"/>
      <c r="G528" s="30"/>
      <c r="H528" s="30"/>
    </row>
    <row r="529" spans="2:8" x14ac:dyDescent="0.25">
      <c r="B529" s="30"/>
      <c r="C529" s="36"/>
      <c r="D529" s="30"/>
      <c r="E529" s="30"/>
      <c r="F529" s="30"/>
      <c r="G529" s="30"/>
      <c r="H529" s="30"/>
    </row>
    <row r="530" spans="2:8" x14ac:dyDescent="0.25">
      <c r="B530" s="30"/>
      <c r="C530" s="36"/>
      <c r="D530" s="30"/>
      <c r="E530" s="30"/>
      <c r="F530" s="30"/>
      <c r="G530" s="30"/>
      <c r="H530" s="30"/>
    </row>
    <row r="531" spans="2:8" x14ac:dyDescent="0.25">
      <c r="B531" s="30"/>
      <c r="C531" s="36"/>
      <c r="D531" s="30"/>
      <c r="E531" s="30"/>
      <c r="F531" s="30"/>
      <c r="G531" s="30"/>
      <c r="H531" s="30"/>
    </row>
    <row r="532" spans="2:8" x14ac:dyDescent="0.25">
      <c r="B532" s="30"/>
      <c r="C532" s="36"/>
      <c r="D532" s="30"/>
      <c r="E532" s="30"/>
      <c r="F532" s="30"/>
      <c r="G532" s="30"/>
      <c r="H532" s="30"/>
    </row>
    <row r="533" spans="2:8" x14ac:dyDescent="0.25">
      <c r="B533" s="30"/>
      <c r="C533" s="36"/>
      <c r="D533" s="30"/>
      <c r="E533" s="30"/>
      <c r="F533" s="30"/>
      <c r="G533" s="30"/>
      <c r="H533" s="30"/>
    </row>
    <row r="534" spans="2:8" x14ac:dyDescent="0.25">
      <c r="B534" s="30"/>
      <c r="C534" s="36"/>
      <c r="D534" s="30"/>
      <c r="E534" s="30"/>
      <c r="F534" s="30"/>
      <c r="G534" s="30"/>
      <c r="H534" s="30"/>
    </row>
    <row r="535" spans="2:8" x14ac:dyDescent="0.25">
      <c r="B535" s="30"/>
      <c r="C535" s="36"/>
      <c r="D535" s="30"/>
      <c r="E535" s="30"/>
      <c r="F535" s="30"/>
      <c r="G535" s="30"/>
      <c r="H535" s="30"/>
    </row>
    <row r="536" spans="2:8" x14ac:dyDescent="0.25">
      <c r="B536" s="30"/>
      <c r="C536" s="36"/>
      <c r="D536" s="30"/>
      <c r="E536" s="30"/>
      <c r="F536" s="30"/>
      <c r="G536" s="30"/>
      <c r="H536" s="30"/>
    </row>
    <row r="537" spans="2:8" x14ac:dyDescent="0.25">
      <c r="B537" s="30"/>
      <c r="C537" s="36"/>
      <c r="D537" s="30"/>
      <c r="E537" s="30"/>
      <c r="F537" s="30"/>
      <c r="G537" s="30"/>
      <c r="H537" s="30"/>
    </row>
    <row r="538" spans="2:8" x14ac:dyDescent="0.25">
      <c r="B538" s="30"/>
      <c r="C538" s="36"/>
      <c r="D538" s="30"/>
      <c r="E538" s="30"/>
      <c r="F538" s="30"/>
      <c r="G538" s="30"/>
      <c r="H538" s="30"/>
    </row>
    <row r="539" spans="2:8" x14ac:dyDescent="0.25">
      <c r="B539" s="30"/>
      <c r="C539" s="36"/>
      <c r="D539" s="30"/>
      <c r="E539" s="30"/>
      <c r="F539" s="30"/>
      <c r="G539" s="30"/>
      <c r="H539" s="30"/>
    </row>
    <row r="540" spans="2:8" x14ac:dyDescent="0.25">
      <c r="B540" s="30"/>
      <c r="C540" s="36"/>
      <c r="D540" s="30"/>
      <c r="E540" s="30"/>
      <c r="F540" s="30"/>
      <c r="G540" s="30"/>
      <c r="H540" s="30"/>
    </row>
    <row r="541" spans="2:8" x14ac:dyDescent="0.25">
      <c r="B541" s="30"/>
      <c r="C541" s="36"/>
      <c r="D541" s="30"/>
      <c r="E541" s="30"/>
      <c r="F541" s="30"/>
      <c r="G541" s="30"/>
      <c r="H541" s="30"/>
    </row>
    <row r="542" spans="2:8" x14ac:dyDescent="0.25">
      <c r="B542" s="30"/>
      <c r="C542" s="36"/>
      <c r="D542" s="30"/>
      <c r="E542" s="30"/>
      <c r="F542" s="30"/>
      <c r="G542" s="30"/>
      <c r="H542" s="30"/>
    </row>
    <row r="543" spans="2:8" x14ac:dyDescent="0.25">
      <c r="B543" s="30"/>
      <c r="C543" s="36"/>
      <c r="D543" s="30"/>
      <c r="E543" s="30"/>
      <c r="F543" s="30"/>
      <c r="G543" s="30"/>
      <c r="H543" s="30"/>
    </row>
    <row r="544" spans="2:8" x14ac:dyDescent="0.25">
      <c r="B544" s="30"/>
      <c r="C544" s="36"/>
      <c r="D544" s="30"/>
      <c r="E544" s="30"/>
      <c r="F544" s="30"/>
      <c r="G544" s="30"/>
      <c r="H544" s="30"/>
    </row>
    <row r="545" spans="2:8" x14ac:dyDescent="0.25">
      <c r="B545" s="30"/>
      <c r="C545" s="36"/>
      <c r="D545" s="30"/>
      <c r="E545" s="30"/>
      <c r="F545" s="30"/>
      <c r="G545" s="30"/>
      <c r="H545" s="30"/>
    </row>
    <row r="546" spans="2:8" x14ac:dyDescent="0.25">
      <c r="B546" s="30"/>
      <c r="C546" s="36"/>
      <c r="D546" s="30"/>
      <c r="E546" s="30"/>
      <c r="F546" s="30"/>
      <c r="G546" s="30"/>
      <c r="H546" s="30"/>
    </row>
    <row r="547" spans="2:8" x14ac:dyDescent="0.25">
      <c r="B547" s="30"/>
      <c r="C547" s="36"/>
      <c r="D547" s="30"/>
      <c r="E547" s="30"/>
      <c r="F547" s="30"/>
      <c r="G547" s="30"/>
      <c r="H547" s="30"/>
    </row>
    <row r="548" spans="2:8" x14ac:dyDescent="0.25">
      <c r="B548" s="30"/>
      <c r="C548" s="36"/>
      <c r="D548" s="30"/>
      <c r="E548" s="30"/>
      <c r="F548" s="30"/>
      <c r="G548" s="30"/>
      <c r="H548" s="30"/>
    </row>
    <row r="549" spans="2:8" x14ac:dyDescent="0.25">
      <c r="B549" s="30"/>
      <c r="C549" s="36"/>
      <c r="D549" s="30"/>
      <c r="E549" s="30"/>
      <c r="F549" s="30"/>
      <c r="G549" s="30"/>
      <c r="H549" s="30"/>
    </row>
    <row r="550" spans="2:8" x14ac:dyDescent="0.25">
      <c r="B550" s="30"/>
      <c r="C550" s="36"/>
      <c r="D550" s="30"/>
      <c r="E550" s="30"/>
      <c r="F550" s="30"/>
      <c r="G550" s="30"/>
      <c r="H550" s="30"/>
    </row>
    <row r="551" spans="2:8" x14ac:dyDescent="0.25">
      <c r="B551" s="30"/>
      <c r="C551" s="36"/>
      <c r="D551" s="30"/>
      <c r="E551" s="30"/>
      <c r="F551" s="30"/>
      <c r="G551" s="30"/>
      <c r="H551" s="30"/>
    </row>
    <row r="552" spans="2:8" x14ac:dyDescent="0.25">
      <c r="B552" s="30"/>
      <c r="C552" s="36"/>
      <c r="D552" s="30"/>
      <c r="E552" s="30"/>
      <c r="F552" s="30"/>
      <c r="G552" s="30"/>
      <c r="H552" s="30"/>
    </row>
    <row r="553" spans="2:8" x14ac:dyDescent="0.25">
      <c r="B553" s="30"/>
      <c r="C553" s="36"/>
      <c r="D553" s="30"/>
      <c r="E553" s="30"/>
      <c r="F553" s="30"/>
      <c r="G553" s="30"/>
      <c r="H553" s="30"/>
    </row>
    <row r="554" spans="2:8" x14ac:dyDescent="0.25">
      <c r="B554" s="30"/>
      <c r="C554" s="36"/>
      <c r="D554" s="30"/>
      <c r="E554" s="30"/>
      <c r="F554" s="30"/>
      <c r="G554" s="30"/>
      <c r="H554" s="30"/>
    </row>
    <row r="555" spans="2:8" x14ac:dyDescent="0.25">
      <c r="B555" s="30"/>
      <c r="C555" s="36"/>
      <c r="D555" s="30"/>
      <c r="E555" s="30"/>
      <c r="F555" s="30"/>
      <c r="G555" s="30"/>
      <c r="H555" s="30"/>
    </row>
    <row r="556" spans="2:8" x14ac:dyDescent="0.25">
      <c r="B556" s="30"/>
      <c r="C556" s="36"/>
      <c r="D556" s="30"/>
      <c r="E556" s="30"/>
      <c r="F556" s="30"/>
      <c r="G556" s="30"/>
      <c r="H556" s="30"/>
    </row>
    <row r="557" spans="2:8" x14ac:dyDescent="0.25">
      <c r="B557" s="30"/>
      <c r="C557" s="36"/>
      <c r="D557" s="30"/>
      <c r="E557" s="30"/>
      <c r="F557" s="30"/>
      <c r="G557" s="30"/>
      <c r="H557" s="30"/>
    </row>
    <row r="558" spans="2:8" x14ac:dyDescent="0.25">
      <c r="B558" s="30"/>
      <c r="C558" s="36"/>
      <c r="D558" s="30"/>
      <c r="E558" s="30"/>
      <c r="F558" s="30"/>
      <c r="G558" s="30"/>
      <c r="H558" s="30"/>
    </row>
    <row r="559" spans="2:8" x14ac:dyDescent="0.25">
      <c r="B559" s="30"/>
      <c r="C559" s="36"/>
      <c r="D559" s="30"/>
      <c r="E559" s="30"/>
      <c r="F559" s="30"/>
      <c r="G559" s="30"/>
      <c r="H559" s="30"/>
    </row>
    <row r="560" spans="2:8" x14ac:dyDescent="0.25">
      <c r="B560" s="30"/>
      <c r="C560" s="36"/>
      <c r="D560" s="30"/>
      <c r="E560" s="30"/>
      <c r="F560" s="30"/>
      <c r="G560" s="30"/>
      <c r="H560" s="30"/>
    </row>
    <row r="561" spans="2:8" x14ac:dyDescent="0.25">
      <c r="B561" s="30"/>
      <c r="C561" s="36"/>
      <c r="D561" s="30"/>
      <c r="E561" s="30"/>
      <c r="F561" s="30"/>
      <c r="G561" s="30"/>
      <c r="H561" s="30"/>
    </row>
    <row r="562" spans="2:8" x14ac:dyDescent="0.25">
      <c r="B562" s="30"/>
      <c r="C562" s="36"/>
      <c r="D562" s="30"/>
      <c r="E562" s="30"/>
      <c r="F562" s="30"/>
      <c r="G562" s="30"/>
      <c r="H562" s="30"/>
    </row>
    <row r="563" spans="2:8" x14ac:dyDescent="0.25">
      <c r="B563" s="30"/>
      <c r="C563" s="36"/>
      <c r="D563" s="30"/>
      <c r="E563" s="30"/>
      <c r="F563" s="30"/>
      <c r="G563" s="30"/>
      <c r="H563" s="30"/>
    </row>
    <row r="564" spans="2:8" x14ac:dyDescent="0.25">
      <c r="B564" s="30"/>
      <c r="C564" s="36"/>
      <c r="D564" s="30"/>
      <c r="E564" s="30"/>
      <c r="F564" s="30"/>
      <c r="G564" s="30"/>
      <c r="H564" s="30"/>
    </row>
    <row r="565" spans="2:8" x14ac:dyDescent="0.25">
      <c r="B565" s="30"/>
      <c r="C565" s="36"/>
      <c r="D565" s="30"/>
      <c r="E565" s="30"/>
      <c r="F565" s="30"/>
      <c r="G565" s="30"/>
      <c r="H565" s="30"/>
    </row>
    <row r="566" spans="2:8" x14ac:dyDescent="0.25">
      <c r="B566" s="30"/>
      <c r="C566" s="36"/>
      <c r="D566" s="30"/>
      <c r="E566" s="30"/>
      <c r="F566" s="30"/>
      <c r="G566" s="30"/>
      <c r="H566" s="30"/>
    </row>
    <row r="567" spans="2:8" x14ac:dyDescent="0.25">
      <c r="B567" s="30"/>
      <c r="C567" s="36"/>
      <c r="D567" s="30"/>
      <c r="E567" s="30"/>
      <c r="F567" s="30"/>
      <c r="G567" s="30"/>
      <c r="H567" s="30"/>
    </row>
    <row r="568" spans="2:8" x14ac:dyDescent="0.25">
      <c r="B568" s="30"/>
      <c r="C568" s="36"/>
      <c r="D568" s="30"/>
      <c r="E568" s="30"/>
      <c r="F568" s="30"/>
      <c r="G568" s="30"/>
      <c r="H568" s="30"/>
    </row>
    <row r="569" spans="2:8" x14ac:dyDescent="0.25">
      <c r="B569" s="30"/>
      <c r="C569" s="36"/>
      <c r="D569" s="30"/>
      <c r="E569" s="30"/>
      <c r="F569" s="30"/>
      <c r="G569" s="30"/>
      <c r="H569" s="30"/>
    </row>
    <row r="570" spans="2:8" x14ac:dyDescent="0.25">
      <c r="B570" s="30"/>
      <c r="C570" s="36"/>
      <c r="D570" s="30"/>
      <c r="E570" s="30"/>
      <c r="F570" s="30"/>
      <c r="G570" s="30"/>
      <c r="H570" s="30"/>
    </row>
    <row r="571" spans="2:8" x14ac:dyDescent="0.25">
      <c r="B571" s="30"/>
      <c r="C571" s="36"/>
      <c r="D571" s="30"/>
      <c r="E571" s="30"/>
      <c r="F571" s="30"/>
      <c r="G571" s="30"/>
      <c r="H571" s="30"/>
    </row>
    <row r="572" spans="2:8" x14ac:dyDescent="0.25">
      <c r="B572" s="30"/>
      <c r="C572" s="36"/>
      <c r="D572" s="30"/>
      <c r="E572" s="30"/>
      <c r="F572" s="30"/>
      <c r="G572" s="30"/>
      <c r="H572" s="30"/>
    </row>
    <row r="573" spans="2:8" x14ac:dyDescent="0.25">
      <c r="B573" s="30"/>
      <c r="C573" s="36"/>
      <c r="D573" s="30"/>
      <c r="E573" s="30"/>
      <c r="F573" s="30"/>
      <c r="G573" s="30"/>
      <c r="H573" s="30"/>
    </row>
    <row r="574" spans="2:8" x14ac:dyDescent="0.25">
      <c r="B574" s="30"/>
      <c r="C574" s="36"/>
      <c r="D574" s="30"/>
      <c r="E574" s="30"/>
      <c r="F574" s="30"/>
      <c r="G574" s="30"/>
      <c r="H574" s="30"/>
    </row>
    <row r="575" spans="2:8" x14ac:dyDescent="0.25">
      <c r="B575" s="30"/>
      <c r="C575" s="36"/>
      <c r="D575" s="30"/>
      <c r="E575" s="30"/>
      <c r="F575" s="30"/>
      <c r="G575" s="30"/>
      <c r="H575" s="30"/>
    </row>
    <row r="576" spans="2:8" x14ac:dyDescent="0.25">
      <c r="B576" s="30"/>
      <c r="C576" s="36"/>
      <c r="D576" s="30"/>
      <c r="E576" s="30"/>
      <c r="F576" s="30"/>
      <c r="G576" s="30"/>
      <c r="H576" s="30"/>
    </row>
    <row r="577" spans="2:8" x14ac:dyDescent="0.25">
      <c r="B577" s="30"/>
      <c r="C577" s="36"/>
      <c r="D577" s="30"/>
      <c r="E577" s="30"/>
      <c r="F577" s="30"/>
      <c r="G577" s="30"/>
      <c r="H577" s="30"/>
    </row>
    <row r="578" spans="2:8" x14ac:dyDescent="0.25">
      <c r="B578" s="30"/>
      <c r="C578" s="36"/>
      <c r="D578" s="30"/>
      <c r="E578" s="30"/>
      <c r="F578" s="30"/>
      <c r="G578" s="30"/>
      <c r="H578" s="30"/>
    </row>
    <row r="579" spans="2:8" x14ac:dyDescent="0.25">
      <c r="B579" s="30"/>
      <c r="C579" s="36"/>
      <c r="D579" s="30"/>
      <c r="E579" s="30"/>
      <c r="F579" s="30"/>
      <c r="G579" s="30"/>
      <c r="H579" s="30"/>
    </row>
    <row r="580" spans="2:8" x14ac:dyDescent="0.25">
      <c r="B580" s="30"/>
      <c r="C580" s="36"/>
      <c r="D580" s="30"/>
      <c r="E580" s="30"/>
      <c r="F580" s="30"/>
      <c r="G580" s="30"/>
      <c r="H580" s="30"/>
    </row>
    <row r="581" spans="2:8" x14ac:dyDescent="0.25">
      <c r="B581" s="30"/>
      <c r="C581" s="36"/>
      <c r="D581" s="30"/>
      <c r="E581" s="30"/>
      <c r="F581" s="30"/>
      <c r="G581" s="30"/>
      <c r="H581" s="30"/>
    </row>
    <row r="582" spans="2:8" x14ac:dyDescent="0.25">
      <c r="B582" s="30"/>
      <c r="C582" s="36"/>
      <c r="D582" s="30"/>
      <c r="E582" s="30"/>
      <c r="F582" s="30"/>
      <c r="G582" s="30"/>
      <c r="H582" s="30"/>
    </row>
    <row r="583" spans="2:8" x14ac:dyDescent="0.25">
      <c r="B583" s="30"/>
      <c r="C583" s="36"/>
      <c r="D583" s="30"/>
      <c r="E583" s="30"/>
      <c r="F583" s="30"/>
      <c r="G583" s="30"/>
      <c r="H583" s="30"/>
    </row>
    <row r="584" spans="2:8" x14ac:dyDescent="0.25">
      <c r="B584" s="30"/>
      <c r="C584" s="36"/>
      <c r="D584" s="30"/>
      <c r="E584" s="30"/>
      <c r="F584" s="30"/>
      <c r="G584" s="30"/>
      <c r="H584" s="30"/>
    </row>
    <row r="585" spans="2:8" x14ac:dyDescent="0.25">
      <c r="B585" s="30"/>
      <c r="C585" s="36"/>
      <c r="D585" s="30"/>
      <c r="E585" s="30"/>
      <c r="F585" s="30"/>
      <c r="G585" s="30"/>
      <c r="H585" s="30"/>
    </row>
    <row r="586" spans="2:8" x14ac:dyDescent="0.25">
      <c r="B586" s="30"/>
      <c r="C586" s="36"/>
      <c r="D586" s="30"/>
      <c r="E586" s="30"/>
      <c r="F586" s="30"/>
      <c r="G586" s="30"/>
      <c r="H586" s="30"/>
    </row>
    <row r="587" spans="2:8" x14ac:dyDescent="0.25">
      <c r="B587" s="30"/>
      <c r="C587" s="36"/>
      <c r="D587" s="30"/>
      <c r="E587" s="30"/>
      <c r="F587" s="30"/>
      <c r="G587" s="30"/>
      <c r="H587" s="30"/>
    </row>
    <row r="588" spans="2:8" x14ac:dyDescent="0.25">
      <c r="B588" s="30"/>
      <c r="C588" s="36"/>
      <c r="D588" s="30"/>
      <c r="E588" s="30"/>
      <c r="F588" s="30"/>
      <c r="G588" s="30"/>
      <c r="H588" s="30"/>
    </row>
    <row r="589" spans="2:8" x14ac:dyDescent="0.25">
      <c r="B589" s="30"/>
      <c r="C589" s="36"/>
      <c r="D589" s="30"/>
      <c r="E589" s="30"/>
      <c r="F589" s="30"/>
      <c r="G589" s="30"/>
      <c r="H589" s="30"/>
    </row>
    <row r="590" spans="2:8" x14ac:dyDescent="0.25">
      <c r="B590" s="30"/>
      <c r="C590" s="36"/>
      <c r="D590" s="30"/>
      <c r="E590" s="30"/>
      <c r="F590" s="30"/>
      <c r="G590" s="30"/>
      <c r="H590" s="30"/>
    </row>
    <row r="591" spans="2:8" x14ac:dyDescent="0.25">
      <c r="B591" s="30"/>
      <c r="C591" s="36"/>
      <c r="D591" s="30"/>
      <c r="E591" s="30"/>
      <c r="F591" s="30"/>
      <c r="G591" s="30"/>
      <c r="H591" s="30"/>
    </row>
    <row r="592" spans="2:8" x14ac:dyDescent="0.25">
      <c r="B592" s="30"/>
      <c r="C592" s="36"/>
      <c r="D592" s="30"/>
      <c r="E592" s="30"/>
      <c r="F592" s="30"/>
      <c r="G592" s="30"/>
      <c r="H592" s="30"/>
    </row>
    <row r="593" spans="2:8" x14ac:dyDescent="0.25">
      <c r="B593" s="30"/>
      <c r="C593" s="36"/>
      <c r="D593" s="30"/>
      <c r="E593" s="30"/>
      <c r="F593" s="30"/>
      <c r="G593" s="30"/>
      <c r="H593" s="30"/>
    </row>
    <row r="594" spans="2:8" x14ac:dyDescent="0.25">
      <c r="B594" s="30"/>
      <c r="C594" s="36"/>
      <c r="D594" s="30"/>
      <c r="E594" s="30"/>
      <c r="F594" s="30"/>
      <c r="G594" s="30"/>
      <c r="H594" s="30"/>
    </row>
    <row r="595" spans="2:8" x14ac:dyDescent="0.25">
      <c r="B595" s="30"/>
      <c r="C595" s="36"/>
      <c r="D595" s="30"/>
      <c r="E595" s="30"/>
      <c r="F595" s="30"/>
      <c r="G595" s="30"/>
      <c r="H595" s="30"/>
    </row>
    <row r="596" spans="2:8" x14ac:dyDescent="0.25">
      <c r="B596" s="30"/>
      <c r="C596" s="36"/>
      <c r="D596" s="30"/>
      <c r="E596" s="30"/>
      <c r="F596" s="30"/>
      <c r="G596" s="30"/>
      <c r="H596" s="30"/>
    </row>
    <row r="597" spans="2:8" x14ac:dyDescent="0.25">
      <c r="B597" s="30"/>
      <c r="C597" s="36"/>
      <c r="D597" s="30"/>
      <c r="E597" s="30"/>
      <c r="F597" s="30"/>
      <c r="G597" s="30"/>
      <c r="H597" s="30"/>
    </row>
    <row r="598" spans="2:8" x14ac:dyDescent="0.25">
      <c r="B598" s="30"/>
      <c r="C598" s="36"/>
      <c r="D598" s="30"/>
      <c r="E598" s="30"/>
      <c r="F598" s="30"/>
      <c r="G598" s="30"/>
      <c r="H598" s="30"/>
    </row>
    <row r="599" spans="2:8" x14ac:dyDescent="0.25">
      <c r="B599" s="30"/>
      <c r="C599" s="36"/>
      <c r="D599" s="30"/>
      <c r="E599" s="30"/>
      <c r="F599" s="30"/>
      <c r="G599" s="30"/>
      <c r="H599" s="30"/>
    </row>
    <row r="600" spans="2:8" x14ac:dyDescent="0.25">
      <c r="B600" s="30"/>
      <c r="C600" s="36"/>
      <c r="D600" s="30"/>
      <c r="E600" s="30"/>
      <c r="F600" s="30"/>
      <c r="G600" s="30"/>
      <c r="H600" s="30"/>
    </row>
    <row r="601" spans="2:8" x14ac:dyDescent="0.25">
      <c r="B601" s="30"/>
      <c r="C601" s="36"/>
      <c r="D601" s="30"/>
      <c r="E601" s="30"/>
      <c r="F601" s="30"/>
      <c r="G601" s="30"/>
      <c r="H601" s="30"/>
    </row>
    <row r="602" spans="2:8" x14ac:dyDescent="0.25">
      <c r="B602" s="30"/>
      <c r="C602" s="36"/>
      <c r="D602" s="30"/>
      <c r="E602" s="30"/>
      <c r="F602" s="30"/>
      <c r="G602" s="30"/>
      <c r="H602" s="30"/>
    </row>
    <row r="603" spans="2:8" x14ac:dyDescent="0.25">
      <c r="B603" s="30"/>
      <c r="C603" s="36"/>
      <c r="D603" s="30"/>
      <c r="E603" s="30"/>
      <c r="F603" s="30"/>
      <c r="G603" s="30"/>
      <c r="H603" s="30"/>
    </row>
    <row r="604" spans="2:8" x14ac:dyDescent="0.25">
      <c r="B604" s="30"/>
      <c r="C604" s="36"/>
      <c r="D604" s="30"/>
      <c r="E604" s="30"/>
      <c r="F604" s="30"/>
      <c r="G604" s="30"/>
      <c r="H604" s="30"/>
    </row>
    <row r="605" spans="2:8" x14ac:dyDescent="0.25">
      <c r="B605" s="30"/>
      <c r="C605" s="36"/>
      <c r="D605" s="30"/>
      <c r="E605" s="30"/>
      <c r="F605" s="30"/>
      <c r="G605" s="30"/>
      <c r="H605" s="30"/>
    </row>
    <row r="606" spans="2:8" x14ac:dyDescent="0.25">
      <c r="B606" s="30"/>
      <c r="C606" s="36"/>
      <c r="D606" s="30"/>
      <c r="E606" s="30"/>
      <c r="F606" s="30"/>
      <c r="G606" s="30"/>
      <c r="H606" s="30"/>
    </row>
    <row r="607" spans="2:8" x14ac:dyDescent="0.25">
      <c r="B607" s="30"/>
      <c r="C607" s="36"/>
      <c r="D607" s="30"/>
      <c r="E607" s="30"/>
      <c r="F607" s="30"/>
      <c r="G607" s="30"/>
      <c r="H607" s="30"/>
    </row>
    <row r="608" spans="2:8" x14ac:dyDescent="0.25">
      <c r="B608" s="30"/>
      <c r="C608" s="36"/>
      <c r="D608" s="30"/>
      <c r="E608" s="30"/>
      <c r="F608" s="30"/>
      <c r="G608" s="30"/>
      <c r="H608" s="30"/>
    </row>
    <row r="609" spans="2:8" x14ac:dyDescent="0.25">
      <c r="B609" s="30"/>
      <c r="C609" s="36"/>
      <c r="D609" s="30"/>
      <c r="E609" s="30"/>
      <c r="F609" s="30"/>
      <c r="G609" s="30"/>
      <c r="H609" s="30"/>
    </row>
    <row r="610" spans="2:8" x14ac:dyDescent="0.25">
      <c r="B610" s="30"/>
      <c r="C610" s="36"/>
      <c r="D610" s="30"/>
      <c r="E610" s="30"/>
      <c r="F610" s="30"/>
      <c r="G610" s="30"/>
      <c r="H610" s="30"/>
    </row>
    <row r="611" spans="2:8" x14ac:dyDescent="0.25">
      <c r="B611" s="30"/>
      <c r="C611" s="36"/>
      <c r="D611" s="30"/>
      <c r="E611" s="30"/>
      <c r="F611" s="30"/>
      <c r="G611" s="30"/>
      <c r="H611" s="30"/>
    </row>
    <row r="612" spans="2:8" x14ac:dyDescent="0.25">
      <c r="B612" s="30"/>
      <c r="C612" s="36"/>
      <c r="D612" s="30"/>
      <c r="E612" s="30"/>
      <c r="F612" s="30"/>
      <c r="G612" s="30"/>
      <c r="H612" s="30"/>
    </row>
    <row r="613" spans="2:8" x14ac:dyDescent="0.25">
      <c r="B613" s="30"/>
      <c r="C613" s="36"/>
      <c r="D613" s="30"/>
      <c r="E613" s="30"/>
      <c r="F613" s="30"/>
      <c r="G613" s="30"/>
      <c r="H613" s="30"/>
    </row>
    <row r="614" spans="2:8" x14ac:dyDescent="0.25">
      <c r="B614" s="30"/>
      <c r="C614" s="36"/>
      <c r="D614" s="30"/>
      <c r="E614" s="30"/>
      <c r="F614" s="30"/>
      <c r="G614" s="30"/>
      <c r="H614" s="30"/>
    </row>
    <row r="615" spans="2:8" x14ac:dyDescent="0.25">
      <c r="B615" s="30"/>
      <c r="C615" s="36"/>
      <c r="D615" s="30"/>
      <c r="E615" s="30"/>
      <c r="F615" s="30"/>
      <c r="G615" s="30"/>
      <c r="H615" s="30"/>
    </row>
    <row r="616" spans="2:8" x14ac:dyDescent="0.25">
      <c r="B616" s="30"/>
      <c r="C616" s="36"/>
      <c r="D616" s="30"/>
      <c r="E616" s="30"/>
      <c r="F616" s="30"/>
      <c r="G616" s="30"/>
      <c r="H616" s="30"/>
    </row>
    <row r="617" spans="2:8" x14ac:dyDescent="0.25">
      <c r="B617" s="30"/>
      <c r="C617" s="36"/>
      <c r="D617" s="30"/>
      <c r="E617" s="30"/>
      <c r="F617" s="30"/>
      <c r="G617" s="30"/>
      <c r="H617" s="30"/>
    </row>
    <row r="618" spans="2:8" x14ac:dyDescent="0.25">
      <c r="B618" s="30"/>
      <c r="C618" s="36"/>
      <c r="D618" s="30"/>
      <c r="E618" s="30"/>
      <c r="F618" s="30"/>
      <c r="G618" s="30"/>
      <c r="H618" s="30"/>
    </row>
    <row r="619" spans="2:8" x14ac:dyDescent="0.25">
      <c r="B619" s="30"/>
      <c r="C619" s="36"/>
      <c r="D619" s="30"/>
      <c r="E619" s="30"/>
      <c r="F619" s="30"/>
      <c r="G619" s="30"/>
      <c r="H619" s="30"/>
    </row>
    <row r="620" spans="2:8" x14ac:dyDescent="0.25">
      <c r="B620" s="30"/>
      <c r="C620" s="36"/>
      <c r="D620" s="30"/>
      <c r="E620" s="30"/>
      <c r="F620" s="30"/>
      <c r="G620" s="30"/>
      <c r="H620" s="30"/>
    </row>
    <row r="621" spans="2:8" x14ac:dyDescent="0.25">
      <c r="B621" s="30"/>
      <c r="C621" s="36"/>
      <c r="D621" s="30"/>
      <c r="E621" s="30"/>
      <c r="F621" s="30"/>
      <c r="G621" s="30"/>
      <c r="H621" s="30"/>
    </row>
    <row r="622" spans="2:8" x14ac:dyDescent="0.25">
      <c r="B622" s="30"/>
      <c r="C622" s="36"/>
      <c r="D622" s="30"/>
      <c r="E622" s="30"/>
      <c r="F622" s="30"/>
      <c r="G622" s="30"/>
      <c r="H622" s="30"/>
    </row>
    <row r="623" spans="2:8" x14ac:dyDescent="0.25">
      <c r="B623" s="30"/>
      <c r="C623" s="36"/>
      <c r="D623" s="30"/>
      <c r="E623" s="30"/>
      <c r="F623" s="30"/>
      <c r="G623" s="30"/>
      <c r="H623" s="30"/>
    </row>
    <row r="624" spans="2:8" x14ac:dyDescent="0.25">
      <c r="B624" s="30"/>
      <c r="C624" s="36"/>
      <c r="D624" s="30"/>
      <c r="E624" s="30"/>
      <c r="F624" s="30"/>
      <c r="G624" s="30"/>
      <c r="H624" s="30"/>
    </row>
    <row r="625" spans="2:8" x14ac:dyDescent="0.25">
      <c r="B625" s="30"/>
      <c r="C625" s="36"/>
      <c r="D625" s="30"/>
      <c r="E625" s="30"/>
      <c r="F625" s="30"/>
      <c r="G625" s="30"/>
      <c r="H625" s="30"/>
    </row>
    <row r="626" spans="2:8" x14ac:dyDescent="0.25">
      <c r="B626" s="30"/>
      <c r="C626" s="36"/>
      <c r="D626" s="30"/>
      <c r="E626" s="30"/>
      <c r="F626" s="30"/>
      <c r="G626" s="30"/>
      <c r="H626" s="30"/>
    </row>
    <row r="627" spans="2:8" x14ac:dyDescent="0.25">
      <c r="B627" s="30"/>
      <c r="C627" s="36"/>
      <c r="D627" s="30"/>
      <c r="E627" s="30"/>
      <c r="F627" s="30"/>
      <c r="G627" s="30"/>
      <c r="H627" s="30"/>
    </row>
    <row r="628" spans="2:8" x14ac:dyDescent="0.25">
      <c r="B628" s="30"/>
      <c r="C628" s="36"/>
      <c r="D628" s="30"/>
      <c r="E628" s="30"/>
      <c r="F628" s="30"/>
      <c r="G628" s="30"/>
      <c r="H628" s="30"/>
    </row>
    <row r="629" spans="2:8" x14ac:dyDescent="0.25">
      <c r="B629" s="30"/>
      <c r="C629" s="36"/>
      <c r="D629" s="30"/>
      <c r="E629" s="30"/>
      <c r="F629" s="30"/>
      <c r="G629" s="30"/>
      <c r="H629" s="30"/>
    </row>
    <row r="630" spans="2:8" x14ac:dyDescent="0.25">
      <c r="B630" s="30"/>
      <c r="C630" s="36"/>
      <c r="D630" s="30"/>
      <c r="E630" s="30"/>
      <c r="F630" s="30"/>
      <c r="G630" s="30"/>
      <c r="H630" s="30"/>
    </row>
    <row r="631" spans="2:8" x14ac:dyDescent="0.25">
      <c r="B631" s="30"/>
      <c r="C631" s="36"/>
      <c r="D631" s="30"/>
      <c r="E631" s="30"/>
      <c r="F631" s="30"/>
      <c r="G631" s="30"/>
      <c r="H631" s="30"/>
    </row>
    <row r="632" spans="2:8" x14ac:dyDescent="0.25">
      <c r="B632" s="30"/>
      <c r="C632" s="36"/>
      <c r="D632" s="30"/>
      <c r="E632" s="30"/>
      <c r="F632" s="30"/>
      <c r="G632" s="30"/>
      <c r="H632" s="30"/>
    </row>
    <row r="633" spans="2:8" x14ac:dyDescent="0.25">
      <c r="B633" s="30"/>
      <c r="C633" s="36"/>
      <c r="D633" s="30"/>
      <c r="E633" s="30"/>
      <c r="F633" s="30"/>
      <c r="G633" s="30"/>
      <c r="H633" s="30"/>
    </row>
    <row r="634" spans="2:8" x14ac:dyDescent="0.25">
      <c r="B634" s="30"/>
      <c r="C634" s="36"/>
      <c r="D634" s="30"/>
      <c r="E634" s="30"/>
      <c r="F634" s="30"/>
      <c r="G634" s="30"/>
      <c r="H634" s="30"/>
    </row>
    <row r="635" spans="2:8" x14ac:dyDescent="0.25">
      <c r="B635" s="30"/>
      <c r="C635" s="36"/>
      <c r="D635" s="30"/>
      <c r="E635" s="30"/>
      <c r="F635" s="30"/>
      <c r="G635" s="30"/>
      <c r="H635" s="30"/>
    </row>
    <row r="636" spans="2:8" x14ac:dyDescent="0.25">
      <c r="B636" s="30"/>
      <c r="C636" s="36"/>
      <c r="D636" s="30"/>
      <c r="E636" s="30"/>
      <c r="F636" s="30"/>
      <c r="G636" s="30"/>
      <c r="H636" s="30"/>
    </row>
    <row r="637" spans="2:8" x14ac:dyDescent="0.25">
      <c r="B637" s="30"/>
      <c r="C637" s="36"/>
      <c r="D637" s="30"/>
      <c r="E637" s="30"/>
      <c r="F637" s="30"/>
      <c r="G637" s="30"/>
      <c r="H637" s="30"/>
    </row>
    <row r="638" spans="2:8" x14ac:dyDescent="0.25">
      <c r="B638" s="30"/>
      <c r="C638" s="36"/>
      <c r="D638" s="30"/>
      <c r="E638" s="30"/>
      <c r="F638" s="30"/>
      <c r="G638" s="30"/>
      <c r="H638" s="30"/>
    </row>
    <row r="639" spans="2:8" x14ac:dyDescent="0.25">
      <c r="B639" s="30"/>
      <c r="C639" s="36"/>
      <c r="D639" s="30"/>
      <c r="E639" s="30"/>
      <c r="F639" s="30"/>
      <c r="G639" s="30"/>
      <c r="H639" s="30"/>
    </row>
    <row r="640" spans="2:8" x14ac:dyDescent="0.25">
      <c r="B640" s="30"/>
      <c r="C640" s="36"/>
      <c r="D640" s="30"/>
      <c r="E640" s="30"/>
      <c r="F640" s="30"/>
      <c r="G640" s="30"/>
      <c r="H640" s="30"/>
    </row>
    <row r="641" spans="2:8" x14ac:dyDescent="0.25">
      <c r="B641" s="30"/>
      <c r="C641" s="36"/>
      <c r="D641" s="30"/>
      <c r="E641" s="30"/>
      <c r="F641" s="30"/>
      <c r="G641" s="30"/>
      <c r="H641" s="30"/>
    </row>
  </sheetData>
  <mergeCells count="3">
    <mergeCell ref="A1:A2"/>
    <mergeCell ref="B1:Y1"/>
    <mergeCell ref="Z1:Z2"/>
  </mergeCells>
  <phoneticPr fontId="19" type="noConversion"/>
  <printOptions horizontalCentered="1"/>
  <pageMargins left="0.39370078740157483" right="0.39370078740157483" top="0.78740157480314965" bottom="0.78740157480314965" header="0" footer="0"/>
  <pageSetup paperSize="9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инф. листы</vt:lpstr>
      <vt:lpstr>'инф. листы'!Область_печати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ThinkPad</cp:lastModifiedBy>
  <cp:lastPrinted>2014-07-17T07:14:53Z</cp:lastPrinted>
  <dcterms:created xsi:type="dcterms:W3CDTF">2013-01-29T10:29:59Z</dcterms:created>
  <dcterms:modified xsi:type="dcterms:W3CDTF">2025-09-02T03:20:36Z</dcterms:modified>
</cp:coreProperties>
</file>